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11_RSB BLU\Proyeksi PNBP\"/>
    </mc:Choice>
  </mc:AlternateContent>
  <xr:revisionPtr revIDLastSave="0" documentId="13_ncr:1_{E85874D1-F110-40DE-B7C7-43EDED88EC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euanga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49" i="1" l="1"/>
  <c r="X48" i="1"/>
  <c r="V48" i="1"/>
  <c r="T48" i="1"/>
  <c r="R48" i="1"/>
  <c r="Q45" i="1"/>
  <c r="X45" i="1"/>
  <c r="V45" i="1"/>
  <c r="T45" i="1"/>
  <c r="R45" i="1"/>
  <c r="P45" i="1"/>
  <c r="P49" i="1"/>
  <c r="R16" i="1" l="1"/>
  <c r="T16" i="1"/>
  <c r="V16" i="1" s="1"/>
  <c r="X16" i="1" s="1"/>
  <c r="R9" i="1"/>
  <c r="T9" i="1" s="1"/>
  <c r="V9" i="1" s="1"/>
  <c r="X9" i="1" s="1"/>
  <c r="U49" i="1"/>
  <c r="S49" i="1"/>
  <c r="U48" i="1"/>
  <c r="S48" i="1"/>
  <c r="W45" i="1"/>
  <c r="X21" i="1"/>
  <c r="R20" i="1"/>
  <c r="T20" i="1" s="1"/>
  <c r="V20" i="1" s="1"/>
  <c r="X20" i="1" s="1"/>
  <c r="Q20" i="1"/>
  <c r="W44" i="1" l="1"/>
  <c r="I11" i="1"/>
  <c r="J11" i="1"/>
  <c r="K11" i="1"/>
  <c r="E26" i="1" l="1"/>
  <c r="D26" i="1"/>
  <c r="G24" i="1"/>
  <c r="F24" i="1"/>
  <c r="E24" i="1"/>
  <c r="D24" i="1"/>
  <c r="C24" i="1"/>
  <c r="B24" i="1"/>
  <c r="F18" i="1"/>
  <c r="E18" i="1"/>
  <c r="D18" i="1"/>
  <c r="C18" i="1"/>
  <c r="B18" i="1"/>
  <c r="X52" i="1"/>
  <c r="X54" i="1"/>
  <c r="X26" i="1"/>
  <c r="V52" i="1"/>
  <c r="T52" i="1"/>
  <c r="P52" i="1" l="1"/>
  <c r="T46" i="1"/>
  <c r="V46" i="1"/>
  <c r="X39" i="1"/>
  <c r="P46" i="1" l="1"/>
  <c r="W46" i="1"/>
  <c r="U52" i="1"/>
  <c r="X55" i="1"/>
  <c r="Y55" i="1" s="1"/>
  <c r="T56" i="1"/>
  <c r="O52" i="1"/>
  <c r="Q52" i="1" s="1"/>
  <c r="O46" i="1"/>
  <c r="N52" i="1"/>
  <c r="N46" i="1"/>
  <c r="N39" i="1"/>
  <c r="R39" i="1"/>
  <c r="Q44" i="1"/>
  <c r="Y44" i="1"/>
  <c r="Q48" i="1"/>
  <c r="W48" i="1"/>
  <c r="Y48" i="1"/>
  <c r="Q49" i="1"/>
  <c r="W49" i="1"/>
  <c r="Y49" i="1"/>
  <c r="S52" i="1"/>
  <c r="W52" i="1"/>
  <c r="Y52" i="1"/>
  <c r="X11" i="1"/>
  <c r="X17" i="1" s="1"/>
  <c r="X18" i="1" s="1"/>
  <c r="O24" i="1"/>
  <c r="O18" i="1"/>
  <c r="O11" i="1"/>
  <c r="J24" i="1"/>
  <c r="K24" i="1"/>
  <c r="V26" i="1"/>
  <c r="V24" i="1"/>
  <c r="T24" i="1"/>
  <c r="W21" i="1"/>
  <c r="P21" i="1"/>
  <c r="Q21" i="1" s="1"/>
  <c r="W20" i="1"/>
  <c r="W16" i="1"/>
  <c r="U16" i="1"/>
  <c r="S16" i="1"/>
  <c r="Q16" i="1"/>
  <c r="V11" i="1"/>
  <c r="V17" i="1" s="1"/>
  <c r="T11" i="1"/>
  <c r="T17" i="1" s="1"/>
  <c r="T18" i="1" s="1"/>
  <c r="R11" i="1"/>
  <c r="R17" i="1" s="1"/>
  <c r="P11" i="1"/>
  <c r="P17" i="1" s="1"/>
  <c r="P18" i="1" s="1"/>
  <c r="W9" i="1"/>
  <c r="U9" i="1"/>
  <c r="S9" i="1"/>
  <c r="Q9" i="1"/>
  <c r="N24" i="1"/>
  <c r="N18" i="1"/>
  <c r="N11" i="1"/>
  <c r="J18" i="1"/>
  <c r="I26" i="1"/>
  <c r="H26" i="1"/>
  <c r="I24" i="1"/>
  <c r="H24" i="1"/>
  <c r="I18" i="1"/>
  <c r="H18" i="1"/>
  <c r="F27" i="1"/>
  <c r="H11" i="1"/>
  <c r="G11" i="1"/>
  <c r="G18" i="1" s="1"/>
  <c r="F11" i="1"/>
  <c r="E11" i="1"/>
  <c r="D11" i="1"/>
  <c r="C11" i="1"/>
  <c r="B11" i="1"/>
  <c r="E36" i="1" l="1"/>
  <c r="D33" i="1"/>
  <c r="D36" i="1"/>
  <c r="G27" i="1"/>
  <c r="F36" i="1"/>
  <c r="J27" i="1"/>
  <c r="I27" i="1"/>
  <c r="D27" i="1"/>
  <c r="B27" i="1"/>
  <c r="H27" i="1"/>
  <c r="U11" i="1"/>
  <c r="T39" i="1"/>
  <c r="O39" i="1"/>
  <c r="P56" i="1"/>
  <c r="V39" i="1"/>
  <c r="W39" i="1" s="1"/>
  <c r="Q11" i="1"/>
  <c r="Q46" i="1"/>
  <c r="O56" i="1"/>
  <c r="E27" i="1"/>
  <c r="E34" i="1" s="1"/>
  <c r="N27" i="1"/>
  <c r="S11" i="1"/>
  <c r="W24" i="1"/>
  <c r="O27" i="1"/>
  <c r="Y54" i="1"/>
  <c r="N56" i="1"/>
  <c r="X24" i="1"/>
  <c r="W11" i="1"/>
  <c r="S20" i="1"/>
  <c r="U20" i="1"/>
  <c r="Q17" i="1"/>
  <c r="R24" i="1"/>
  <c r="P24" i="1"/>
  <c r="C27" i="1"/>
  <c r="D35" i="1" s="1"/>
  <c r="C33" i="2"/>
  <c r="E33" i="2"/>
  <c r="G33" i="2"/>
  <c r="I33" i="2"/>
  <c r="K33" i="2"/>
  <c r="I36" i="2"/>
  <c r="G36" i="2"/>
  <c r="D34" i="1" l="1"/>
  <c r="Y39" i="1"/>
  <c r="Q56" i="1"/>
  <c r="U39" i="1"/>
  <c r="Q24" i="1"/>
  <c r="X27" i="1"/>
  <c r="S24" i="1"/>
  <c r="U24" i="1"/>
  <c r="W17" i="1"/>
  <c r="V18" i="1"/>
  <c r="S17" i="1"/>
  <c r="R18" i="1"/>
  <c r="U21" i="1"/>
  <c r="S21" i="1"/>
  <c r="U17" i="1"/>
  <c r="G34" i="2"/>
  <c r="G35" i="2"/>
  <c r="K34" i="2"/>
  <c r="K36" i="2"/>
  <c r="I35" i="2"/>
  <c r="C35" i="2"/>
  <c r="C36" i="2"/>
  <c r="Y26" i="1"/>
  <c r="P39" i="1" l="1"/>
  <c r="Q18" i="1"/>
  <c r="P27" i="1"/>
  <c r="Q27" i="1" s="1"/>
  <c r="W18" i="1"/>
  <c r="V27" i="1"/>
  <c r="Y27" i="1" s="1"/>
  <c r="U18" i="1"/>
  <c r="T27" i="1"/>
  <c r="S18" i="1"/>
  <c r="R27" i="1"/>
  <c r="K35" i="2"/>
  <c r="I34" i="2"/>
  <c r="E34" i="2"/>
  <c r="E36" i="2"/>
  <c r="C34" i="2"/>
  <c r="S27" i="1" l="1"/>
  <c r="Q39" i="1"/>
  <c r="S39" i="1"/>
  <c r="W27" i="1"/>
  <c r="U27" i="1"/>
  <c r="E35" i="2"/>
  <c r="Y16" i="1"/>
  <c r="Y21" i="1"/>
  <c r="K18" i="1"/>
  <c r="K27" i="1" s="1"/>
  <c r="Y9" i="1"/>
  <c r="Y20" i="1" l="1"/>
  <c r="Y24" i="1"/>
  <c r="Y17" i="1"/>
  <c r="E33" i="1"/>
  <c r="F33" i="1"/>
  <c r="G35" i="1"/>
  <c r="H34" i="1"/>
  <c r="F34" i="1"/>
  <c r="H35" i="1"/>
  <c r="G33" i="1"/>
  <c r="E35" i="1"/>
  <c r="G36" i="1"/>
  <c r="Y11" i="1"/>
  <c r="H36" i="1"/>
  <c r="H33" i="1"/>
  <c r="F35" i="1"/>
  <c r="Y18" i="1" l="1"/>
  <c r="G34" i="1"/>
  <c r="V56" i="1"/>
  <c r="W56" i="1" l="1"/>
  <c r="Y45" i="1"/>
  <c r="X46" i="1"/>
  <c r="X56" i="1" s="1"/>
  <c r="Y56" i="1" s="1"/>
  <c r="Y46" i="1" l="1"/>
  <c r="S45" i="1"/>
  <c r="U45" i="1"/>
  <c r="R46" i="1"/>
  <c r="S44" i="1"/>
  <c r="U46" i="1" l="1"/>
  <c r="R56" i="1"/>
  <c r="S46" i="1"/>
  <c r="U44" i="1"/>
  <c r="U56" i="1" l="1"/>
  <c r="S56" i="1"/>
</calcChain>
</file>

<file path=xl/sharedStrings.xml><?xml version="1.0" encoding="utf-8"?>
<sst xmlns="http://schemas.openxmlformats.org/spreadsheetml/2006/main" count="232" uniqueCount="48">
  <si>
    <t>KEUANGAN</t>
  </si>
  <si>
    <t>Target dan Realisasi Pendapatan dan Belanja Tahun Yang Lalu</t>
  </si>
  <si>
    <t>Proyeksi Pendapatan dan Belanja 5 Tahun ke Depan Jika Menerapkan PK BLU</t>
  </si>
  <si>
    <t>Uraian</t>
  </si>
  <si>
    <t>Tahun</t>
  </si>
  <si>
    <t>% pertumbuhan (O-N)/N</t>
  </si>
  <si>
    <t>%</t>
  </si>
  <si>
    <t>Target</t>
  </si>
  <si>
    <t>Realisasi</t>
  </si>
  <si>
    <t xml:space="preserve">Target </t>
  </si>
  <si>
    <t>Proyeksi</t>
  </si>
  <si>
    <t>Pendapatan</t>
  </si>
  <si>
    <t>PNBP</t>
  </si>
  <si>
    <t>APBN (RM)</t>
  </si>
  <si>
    <t>Sumber Lain (Hibah/PLN)</t>
  </si>
  <si>
    <t>Unit Bisnis</t>
  </si>
  <si>
    <t>Total Pendapatan</t>
  </si>
  <si>
    <t>Belanja</t>
  </si>
  <si>
    <t>Belanja Pegawai</t>
  </si>
  <si>
    <t>Belanja Barang</t>
  </si>
  <si>
    <t>Belanja Modal</t>
  </si>
  <si>
    <t>Jumlah Belanja PNBP</t>
  </si>
  <si>
    <t>Belanja Sosial</t>
  </si>
  <si>
    <t>Jumlah Belanja RM</t>
  </si>
  <si>
    <t>Belanja Hibah/PLN/SBSN</t>
  </si>
  <si>
    <t>Belanja Hibah/PLN</t>
  </si>
  <si>
    <t>Jumlah Belanja Hibah/PLN</t>
  </si>
  <si>
    <t>Total Belanja</t>
  </si>
  <si>
    <t>Proyeksi Pendapatan dan Belanja 5 Tahun ke Depan Jika Tidak Menerapkan PK BLU</t>
  </si>
  <si>
    <t>Rasio</t>
  </si>
  <si>
    <t>1. realisasi total penerimaan pnbp/target penerimaan pnbp</t>
  </si>
  <si>
    <t>2. realisasi penerimaan pnbp/total belanja (pnbp+rm)</t>
  </si>
  <si>
    <t>3. realisasi belanja pnbp/total belanja (pnbp+rm)</t>
  </si>
  <si>
    <t>4. realisasi (belanja PNBP/pendapatan pnbp)</t>
  </si>
  <si>
    <t>Definisi</t>
  </si>
  <si>
    <t>1.  mengukur kemampuan blu membuat perencanaan penerimaan pnbp</t>
  </si>
  <si>
    <t>2. mengukur kemampuan dan kemandirian blu untuk membiayai seluruh biaya operasionalnya</t>
  </si>
  <si>
    <t>3. mengukur kemampuan belanja pnbp atau ketergantungan belanja  RM</t>
  </si>
  <si>
    <t>4. mengukur kemampuan penyerapan belanja dari sumber pendapatan pnbp</t>
  </si>
  <si>
    <t>Note:</t>
  </si>
  <si>
    <t>pendapatan/belanja pnbp adalah akumulasi dari pendapatan/belanja pnbp dan pendapatan/belanja dari hibah/PLN</t>
  </si>
  <si>
    <t>Hibah</t>
  </si>
  <si>
    <t>Baseline Year (2023)</t>
  </si>
  <si>
    <t>Jumlah Belanja Hibah/PHLN/SBSN</t>
  </si>
  <si>
    <t>Belanja Hibah/PHLN/SBSN</t>
  </si>
  <si>
    <t>pendapatan/belanja pnbp adalah akumulasi dari pendapatan/belanja pnbp dan pendapatan/belanja dari hibah/PHLN/SBSN</t>
  </si>
  <si>
    <t>Baseline Year (2025)</t>
  </si>
  <si>
    <t>Sumber 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</si>
</sst>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&quot;Rp&quot;#,##0.00"/>
    <numFmt numFmtId="167" formatCode="[$Rp-421]#,##0"/>
    <numFmt numFmtId="168" formatCode="&quot;Rp&quot;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Tahoma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166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67" fontId="0" fillId="0" borderId="1" xfId="0" applyNumberFormat="1" applyBorder="1"/>
    <xf numFmtId="164" fontId="4" fillId="0" borderId="1" xfId="2" applyFont="1" applyBorder="1" applyAlignment="1">
      <alignment horizontal="left" vertical="center" wrapText="1"/>
    </xf>
    <xf numFmtId="166" fontId="0" fillId="2" borderId="1" xfId="0" applyNumberFormat="1" applyFill="1" applyBorder="1"/>
    <xf numFmtId="10" fontId="0" fillId="2" borderId="1" xfId="3" applyNumberFormat="1" applyFont="1" applyFill="1" applyBorder="1"/>
    <xf numFmtId="165" fontId="0" fillId="2" borderId="1" xfId="1" applyFont="1" applyFill="1" applyBorder="1"/>
    <xf numFmtId="0" fontId="2" fillId="0" borderId="1" xfId="0" applyFont="1" applyBorder="1" applyAlignment="1">
      <alignment horizontal="center"/>
    </xf>
    <xf numFmtId="167" fontId="5" fillId="3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6" fontId="2" fillId="2" borderId="1" xfId="0" applyNumberFormat="1" applyFont="1" applyFill="1" applyBorder="1"/>
    <xf numFmtId="10" fontId="2" fillId="2" borderId="1" xfId="3" applyNumberFormat="1" applyFont="1" applyFill="1" applyBorder="1"/>
    <xf numFmtId="167" fontId="0" fillId="2" borderId="1" xfId="0" applyNumberFormat="1" applyFill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2" borderId="1" xfId="0" applyFont="1" applyFill="1" applyBorder="1"/>
    <xf numFmtId="167" fontId="6" fillId="0" borderId="1" xfId="0" applyNumberFormat="1" applyFont="1" applyBorder="1"/>
    <xf numFmtId="166" fontId="7" fillId="4" borderId="1" xfId="0" applyNumberFormat="1" applyFont="1" applyFill="1" applyBorder="1"/>
    <xf numFmtId="166" fontId="0" fillId="2" borderId="0" xfId="0" applyNumberFormat="1" applyFill="1"/>
    <xf numFmtId="0" fontId="2" fillId="0" borderId="0" xfId="0" applyFont="1"/>
    <xf numFmtId="0" fontId="2" fillId="2" borderId="9" xfId="0" applyFont="1" applyFill="1" applyBorder="1" applyAlignment="1">
      <alignment horizontal="center" vertical="center"/>
    </xf>
    <xf numFmtId="9" fontId="0" fillId="0" borderId="0" xfId="3" applyFont="1"/>
    <xf numFmtId="9" fontId="0" fillId="3" borderId="0" xfId="3" applyFont="1" applyFill="1"/>
    <xf numFmtId="0" fontId="0" fillId="3" borderId="0" xfId="0" applyFill="1"/>
    <xf numFmtId="0" fontId="2" fillId="2" borderId="8" xfId="0" applyFont="1" applyFill="1" applyBorder="1" applyAlignment="1">
      <alignment horizontal="center" vertical="center"/>
    </xf>
    <xf numFmtId="1" fontId="2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167" fontId="0" fillId="0" borderId="0" xfId="0" applyNumberFormat="1"/>
    <xf numFmtId="165" fontId="2" fillId="2" borderId="1" xfId="1" applyFont="1" applyFill="1" applyBorder="1"/>
    <xf numFmtId="10" fontId="1" fillId="2" borderId="1" xfId="3" applyNumberFormat="1" applyFont="1" applyFill="1" applyBorder="1"/>
    <xf numFmtId="165" fontId="1" fillId="2" borderId="1" xfId="1" applyFont="1" applyFill="1" applyBorder="1"/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8" fontId="0" fillId="0" borderId="1" xfId="0" applyNumberFormat="1" applyBorder="1"/>
    <xf numFmtId="168" fontId="0" fillId="0" borderId="1" xfId="2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164" fontId="0" fillId="0" borderId="0" xfId="2" applyFont="1"/>
    <xf numFmtId="9" fontId="0" fillId="0" borderId="1" xfId="3" applyFont="1" applyBorder="1"/>
    <xf numFmtId="0" fontId="0" fillId="0" borderId="1" xfId="0" applyBorder="1" applyAlignment="1">
      <alignment horizontal="center"/>
    </xf>
    <xf numFmtId="9" fontId="0" fillId="3" borderId="1" xfId="3" applyFont="1" applyFill="1" applyBorder="1" applyAlignment="1">
      <alignment horizontal="center"/>
    </xf>
    <xf numFmtId="166" fontId="0" fillId="3" borderId="1" xfId="0" applyNumberFormat="1" applyFill="1" applyBorder="1"/>
    <xf numFmtId="10" fontId="0" fillId="3" borderId="1" xfId="3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5"/>
  <sheetViews>
    <sheetView tabSelected="1" topLeftCell="I19" zoomScale="80" zoomScaleNormal="80" workbookViewId="0">
      <selection activeCell="X48" sqref="X48:X49"/>
    </sheetView>
  </sheetViews>
  <sheetFormatPr defaultRowHeight="15" x14ac:dyDescent="0.25"/>
  <cols>
    <col min="1" max="1" width="34.7109375" customWidth="1"/>
    <col min="2" max="2" width="18.85546875" bestFit="1" customWidth="1"/>
    <col min="3" max="3" width="17.140625" bestFit="1" customWidth="1"/>
    <col min="4" max="4" width="18.140625" bestFit="1" customWidth="1"/>
    <col min="5" max="5" width="19.85546875" bestFit="1" customWidth="1"/>
    <col min="6" max="6" width="18.85546875" bestFit="1" customWidth="1"/>
    <col min="7" max="7" width="18.140625" bestFit="1" customWidth="1"/>
    <col min="8" max="8" width="18.85546875" bestFit="1" customWidth="1"/>
    <col min="9" max="9" width="18" bestFit="1" customWidth="1"/>
    <col min="10" max="10" width="18.85546875" bestFit="1" customWidth="1"/>
    <col min="11" max="11" width="18.140625" bestFit="1" customWidth="1"/>
    <col min="13" max="13" width="31" bestFit="1" customWidth="1"/>
    <col min="14" max="14" width="22.140625" style="1" customWidth="1"/>
    <col min="15" max="15" width="20.5703125" style="1" bestFit="1" customWidth="1"/>
    <col min="16" max="16" width="21.140625" style="1" bestFit="1" customWidth="1"/>
    <col min="17" max="17" width="13.42578125" customWidth="1"/>
    <col min="18" max="18" width="21.140625" style="1" bestFit="1" customWidth="1"/>
    <col min="19" max="19" width="10.140625" bestFit="1" customWidth="1"/>
    <col min="20" max="20" width="21.140625" style="1" bestFit="1" customWidth="1"/>
    <col min="21" max="21" width="9.140625" bestFit="1" customWidth="1"/>
    <col min="22" max="22" width="21.140625" style="1" bestFit="1" customWidth="1"/>
    <col min="23" max="23" width="10.140625" bestFit="1" customWidth="1"/>
    <col min="24" max="24" width="21.140625" style="1" bestFit="1" customWidth="1"/>
    <col min="25" max="25" width="8.5703125" bestFit="1" customWidth="1"/>
    <col min="30" max="30" width="12.140625" style="57" bestFit="1" customWidth="1"/>
    <col min="31" max="31" width="16" style="57" bestFit="1" customWidth="1"/>
  </cols>
  <sheetData>
    <row r="1" spans="1:25" x14ac:dyDescent="0.25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</row>
    <row r="2" spans="1:25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</row>
    <row r="3" spans="1:25" x14ac:dyDescent="0.25">
      <c r="A3" s="71" t="s">
        <v>1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3"/>
      <c r="M3" s="63" t="s">
        <v>2</v>
      </c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spans="1:25" x14ac:dyDescent="0.25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3"/>
      <c r="M4" s="63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</row>
    <row r="5" spans="1:25" x14ac:dyDescent="0.25">
      <c r="A5" s="72" t="s">
        <v>3</v>
      </c>
      <c r="B5" s="75" t="s">
        <v>4</v>
      </c>
      <c r="C5" s="76"/>
      <c r="D5" s="76"/>
      <c r="E5" s="76"/>
      <c r="F5" s="76"/>
      <c r="G5" s="76"/>
      <c r="H5" s="76"/>
      <c r="I5" s="76"/>
      <c r="J5" s="76"/>
      <c r="K5" s="77"/>
      <c r="L5" s="3"/>
      <c r="M5" s="67" t="s">
        <v>3</v>
      </c>
      <c r="N5" s="67" t="s">
        <v>4</v>
      </c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25" ht="45" x14ac:dyDescent="0.25">
      <c r="A6" s="73"/>
      <c r="B6" s="41">
        <v>2021</v>
      </c>
      <c r="C6" s="42"/>
      <c r="D6" s="41">
        <v>2022</v>
      </c>
      <c r="E6" s="42"/>
      <c r="F6" s="41">
        <v>2023</v>
      </c>
      <c r="G6" s="42"/>
      <c r="H6" s="78">
        <v>2024</v>
      </c>
      <c r="I6" s="79"/>
      <c r="J6" s="78">
        <v>2025</v>
      </c>
      <c r="K6" s="79"/>
      <c r="L6" s="3"/>
      <c r="M6" s="67"/>
      <c r="N6" s="67" t="s">
        <v>46</v>
      </c>
      <c r="O6" s="67"/>
      <c r="P6" s="5">
        <v>2026</v>
      </c>
      <c r="Q6" s="6" t="s">
        <v>5</v>
      </c>
      <c r="R6" s="5">
        <v>2027</v>
      </c>
      <c r="S6" s="4" t="s">
        <v>6</v>
      </c>
      <c r="T6" s="5">
        <v>2028</v>
      </c>
      <c r="U6" s="4" t="s">
        <v>6</v>
      </c>
      <c r="V6" s="5">
        <v>2029</v>
      </c>
      <c r="W6" s="7" t="s">
        <v>6</v>
      </c>
      <c r="X6" s="5">
        <v>2030</v>
      </c>
      <c r="Y6" s="7" t="s">
        <v>6</v>
      </c>
    </row>
    <row r="7" spans="1:25" x14ac:dyDescent="0.25">
      <c r="A7" s="74"/>
      <c r="B7" s="2" t="s">
        <v>7</v>
      </c>
      <c r="C7" s="2" t="s">
        <v>8</v>
      </c>
      <c r="D7" s="2" t="s">
        <v>7</v>
      </c>
      <c r="E7" s="2" t="s">
        <v>8</v>
      </c>
      <c r="F7" s="2" t="s">
        <v>7</v>
      </c>
      <c r="G7" s="2" t="s">
        <v>8</v>
      </c>
      <c r="H7" s="2" t="s">
        <v>7</v>
      </c>
      <c r="I7" s="2" t="s">
        <v>8</v>
      </c>
      <c r="J7" s="2" t="s">
        <v>7</v>
      </c>
      <c r="K7" s="2" t="s">
        <v>8</v>
      </c>
      <c r="L7" s="3"/>
      <c r="M7" s="4"/>
      <c r="N7" s="8" t="s">
        <v>9</v>
      </c>
      <c r="O7" s="8" t="s">
        <v>8</v>
      </c>
      <c r="P7" s="8" t="s">
        <v>10</v>
      </c>
      <c r="Q7" s="6"/>
      <c r="R7" s="8" t="s">
        <v>10</v>
      </c>
      <c r="S7" s="4"/>
      <c r="T7" s="8" t="s">
        <v>10</v>
      </c>
      <c r="U7" s="4"/>
      <c r="V7" s="8" t="s">
        <v>10</v>
      </c>
      <c r="W7" s="9"/>
      <c r="X7" s="8" t="s">
        <v>10</v>
      </c>
      <c r="Y7" s="9"/>
    </row>
    <row r="8" spans="1:25" x14ac:dyDescent="0.25">
      <c r="A8" s="48" t="s">
        <v>11</v>
      </c>
      <c r="B8" s="49"/>
      <c r="C8" s="49"/>
      <c r="D8" s="49"/>
      <c r="E8" s="49"/>
      <c r="F8" s="49"/>
      <c r="G8" s="49"/>
      <c r="H8" s="49"/>
      <c r="I8" s="50"/>
      <c r="J8" s="49"/>
      <c r="K8" s="50"/>
      <c r="L8" s="3"/>
      <c r="M8" s="51" t="s">
        <v>11</v>
      </c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3"/>
    </row>
    <row r="9" spans="1:25" x14ac:dyDescent="0.25">
      <c r="A9" s="10" t="s">
        <v>12</v>
      </c>
      <c r="B9" s="11">
        <v>34233136000</v>
      </c>
      <c r="C9" s="11">
        <v>31513387350</v>
      </c>
      <c r="D9" s="12">
        <v>40668775000</v>
      </c>
      <c r="E9" s="11">
        <v>34827238500</v>
      </c>
      <c r="F9" s="12">
        <v>45468750000</v>
      </c>
      <c r="G9" s="11">
        <v>36651571861</v>
      </c>
      <c r="H9" s="12">
        <v>46394224000</v>
      </c>
      <c r="I9" s="11">
        <v>37829080500</v>
      </c>
      <c r="J9" s="12">
        <v>46994400000</v>
      </c>
      <c r="K9" s="11">
        <v>38624678750</v>
      </c>
      <c r="L9" s="3"/>
      <c r="M9" s="9" t="s">
        <v>12</v>
      </c>
      <c r="N9" s="13">
        <v>46994400000</v>
      </c>
      <c r="O9" s="13">
        <v>38624678750</v>
      </c>
      <c r="P9" s="13">
        <v>38670350000</v>
      </c>
      <c r="Q9" s="14">
        <f>(P9-N9)/P9</f>
        <v>-0.21525665012082901</v>
      </c>
      <c r="R9" s="13">
        <f>P9+(P9*2.75%)</f>
        <v>39733784625</v>
      </c>
      <c r="S9" s="14">
        <f>(R9-P9)/R9</f>
        <v>2.6763990267639901E-2</v>
      </c>
      <c r="T9" s="13">
        <f>R9+(R9*6.25%)</f>
        <v>42217146164.0625</v>
      </c>
      <c r="U9" s="14">
        <f>(T9-R9)/T9</f>
        <v>5.8823529411764705E-2</v>
      </c>
      <c r="V9" s="13">
        <f>T9+(T9*3.35%)</f>
        <v>43631420560.558594</v>
      </c>
      <c r="W9" s="14">
        <f>(V9-T9)/V9</f>
        <v>3.2414126753749398E-2</v>
      </c>
      <c r="X9" s="13">
        <f>V9+(V9*3.4%)</f>
        <v>45114888859.617584</v>
      </c>
      <c r="Y9" s="14">
        <f>(X9-V9)/X9</f>
        <v>3.2882011605415824E-2</v>
      </c>
    </row>
    <row r="10" spans="1:25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3"/>
      <c r="M10" s="9" t="s">
        <v>15</v>
      </c>
      <c r="N10" s="13"/>
      <c r="O10" s="13"/>
      <c r="P10" s="13"/>
      <c r="Q10" s="14"/>
      <c r="R10" s="13"/>
      <c r="S10" s="14"/>
      <c r="T10" s="13"/>
      <c r="U10" s="14"/>
      <c r="V10" s="13"/>
      <c r="W10" s="14"/>
      <c r="X10" s="13"/>
      <c r="Y10" s="14"/>
    </row>
    <row r="11" spans="1:25" x14ac:dyDescent="0.25">
      <c r="A11" s="16" t="s">
        <v>16</v>
      </c>
      <c r="B11" s="17">
        <f t="shared" ref="B11:K11" si="0">SUM(B9:B9)</f>
        <v>34233136000</v>
      </c>
      <c r="C11" s="17">
        <f t="shared" si="0"/>
        <v>31513387350</v>
      </c>
      <c r="D11" s="17">
        <f t="shared" si="0"/>
        <v>40668775000</v>
      </c>
      <c r="E11" s="17">
        <f t="shared" si="0"/>
        <v>34827238500</v>
      </c>
      <c r="F11" s="17">
        <f t="shared" si="0"/>
        <v>45468750000</v>
      </c>
      <c r="G11" s="17">
        <f t="shared" si="0"/>
        <v>36651571861</v>
      </c>
      <c r="H11" s="17">
        <f t="shared" si="0"/>
        <v>46394224000</v>
      </c>
      <c r="I11" s="17">
        <f t="shared" si="0"/>
        <v>37829080500</v>
      </c>
      <c r="J11" s="17">
        <f t="shared" si="0"/>
        <v>46994400000</v>
      </c>
      <c r="K11" s="17">
        <f t="shared" si="0"/>
        <v>38624678750</v>
      </c>
      <c r="L11" s="3"/>
      <c r="M11" s="18" t="s">
        <v>16</v>
      </c>
      <c r="N11" s="20">
        <f>SUM(N9:N10)</f>
        <v>46994400000</v>
      </c>
      <c r="O11" s="20">
        <f>SUM(O9:O10)</f>
        <v>38624678750</v>
      </c>
      <c r="P11" s="20">
        <f>SUM(P9:P10)</f>
        <v>38670350000</v>
      </c>
      <c r="Q11" s="21">
        <f>(P11-N11)/P11</f>
        <v>-0.21525665012082901</v>
      </c>
      <c r="R11" s="20">
        <f>SUM(R9:R10)</f>
        <v>39733784625</v>
      </c>
      <c r="S11" s="21">
        <f>(R11-P11)/R11</f>
        <v>2.6763990267639901E-2</v>
      </c>
      <c r="T11" s="20">
        <f>SUM(T9:T10)</f>
        <v>42217146164.0625</v>
      </c>
      <c r="U11" s="21">
        <f>(T11-R11)/T11</f>
        <v>5.8823529411764705E-2</v>
      </c>
      <c r="V11" s="20">
        <f>SUM(V9:V10)</f>
        <v>43631420560.558594</v>
      </c>
      <c r="W11" s="21">
        <f>(V11-T11)/V11</f>
        <v>3.2414126753749398E-2</v>
      </c>
      <c r="X11" s="20">
        <f>SUM(X9:X10)</f>
        <v>45114888859.617584</v>
      </c>
      <c r="Y11" s="21">
        <f>(X11-V11)/X11</f>
        <v>3.2882011605415824E-2</v>
      </c>
    </row>
    <row r="12" spans="1:25" x14ac:dyDescent="0.25">
      <c r="A12" s="45"/>
      <c r="B12" s="46"/>
      <c r="C12" s="46"/>
      <c r="D12" s="46"/>
      <c r="E12" s="46"/>
      <c r="F12" s="46"/>
      <c r="G12" s="46"/>
      <c r="H12" s="46"/>
      <c r="I12" s="47"/>
      <c r="J12" s="46"/>
      <c r="K12" s="47"/>
      <c r="L12" s="3"/>
      <c r="M12" s="54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5"/>
      <c r="Y12" s="56"/>
    </row>
    <row r="13" spans="1:25" x14ac:dyDescent="0.25">
      <c r="A13" s="48" t="s">
        <v>17</v>
      </c>
      <c r="B13" s="49"/>
      <c r="C13" s="49"/>
      <c r="D13" s="49"/>
      <c r="E13" s="49"/>
      <c r="F13" s="49"/>
      <c r="G13" s="49"/>
      <c r="H13" s="49"/>
      <c r="I13" s="50"/>
      <c r="J13" s="49"/>
      <c r="K13" s="50"/>
      <c r="L13" s="3"/>
      <c r="M13" s="25" t="s">
        <v>17</v>
      </c>
      <c r="N13" s="25"/>
      <c r="O13" s="25"/>
      <c r="P13" s="25"/>
      <c r="Q13" s="25"/>
      <c r="R13" s="25"/>
      <c r="S13" s="25"/>
      <c r="T13" s="25"/>
      <c r="U13" s="9"/>
      <c r="V13" s="13"/>
      <c r="W13" s="9"/>
      <c r="X13" s="13"/>
      <c r="Y13" s="9"/>
    </row>
    <row r="14" spans="1:25" x14ac:dyDescent="0.25">
      <c r="A14" s="10" t="s">
        <v>12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3"/>
      <c r="M14" s="9" t="s">
        <v>12</v>
      </c>
      <c r="N14" s="13"/>
      <c r="O14" s="13"/>
      <c r="P14" s="13"/>
      <c r="Q14" s="14"/>
      <c r="R14" s="13"/>
      <c r="S14" s="14"/>
      <c r="T14" s="13"/>
      <c r="U14" s="14"/>
      <c r="V14" s="13"/>
      <c r="W14" s="14"/>
      <c r="X14" s="13"/>
      <c r="Y14" s="14"/>
    </row>
    <row r="15" spans="1:25" x14ac:dyDescent="0.25">
      <c r="A15" s="10" t="s">
        <v>18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3"/>
      <c r="M15" s="9" t="s">
        <v>18</v>
      </c>
      <c r="N15" s="13"/>
      <c r="O15" s="13"/>
      <c r="P15" s="13"/>
      <c r="Q15" s="14"/>
      <c r="R15" s="13"/>
      <c r="S15" s="14"/>
      <c r="T15" s="13"/>
      <c r="U15" s="14"/>
      <c r="V15" s="13"/>
      <c r="W15" s="14"/>
      <c r="X15" s="13"/>
      <c r="Y15" s="14"/>
    </row>
    <row r="16" spans="1:25" x14ac:dyDescent="0.25">
      <c r="A16" s="10" t="s">
        <v>19</v>
      </c>
      <c r="B16" s="11">
        <v>25627222000</v>
      </c>
      <c r="C16" s="11">
        <v>21052909642</v>
      </c>
      <c r="D16" s="11">
        <v>29762302000</v>
      </c>
      <c r="E16" s="11">
        <v>23995406017</v>
      </c>
      <c r="F16" s="11">
        <v>34690406000</v>
      </c>
      <c r="G16" s="11">
        <v>26389208778</v>
      </c>
      <c r="H16" s="11">
        <v>38583588000</v>
      </c>
      <c r="I16" s="11">
        <v>31051282000</v>
      </c>
      <c r="J16" s="11">
        <v>29873882000</v>
      </c>
      <c r="K16" s="11">
        <v>21750267585</v>
      </c>
      <c r="L16" s="3"/>
      <c r="M16" s="9" t="s">
        <v>19</v>
      </c>
      <c r="N16" s="13">
        <v>29873882000</v>
      </c>
      <c r="O16" s="13">
        <v>21750267585</v>
      </c>
      <c r="P16" s="13">
        <v>30149078000</v>
      </c>
      <c r="Q16" s="14">
        <f t="shared" ref="Q16:Q18" si="1">(P16-N16)/P16</f>
        <v>9.1278413223780837E-3</v>
      </c>
      <c r="R16" s="13">
        <f>P16+(P16*20.25%)</f>
        <v>36254266295</v>
      </c>
      <c r="S16" s="14">
        <f t="shared" ref="S16:S18" si="2">(R16-P16)/R16</f>
        <v>0.16839916839916841</v>
      </c>
      <c r="T16" s="13">
        <f>R16+(R16*5.25%)</f>
        <v>38157615275.487503</v>
      </c>
      <c r="U16" s="14">
        <f t="shared" ref="U16:U17" si="3">(T16-R16)/T16</f>
        <v>4.9881235154394375E-2</v>
      </c>
      <c r="V16" s="13">
        <f>T16-(T16*4.35%)</f>
        <v>36497759011.003799</v>
      </c>
      <c r="W16" s="14">
        <f t="shared" ref="W16:W18" si="4">(V16-T16)/V16</f>
        <v>-4.5478306325143672E-2</v>
      </c>
      <c r="X16" s="13">
        <f>V16+(V16*13.75%)</f>
        <v>41516200875.016823</v>
      </c>
      <c r="Y16" s="14">
        <f t="shared" ref="Y16:Y24" si="5">(X16-V16)/X16</f>
        <v>0.12087912087912089</v>
      </c>
    </row>
    <row r="17" spans="1:25" x14ac:dyDescent="0.25">
      <c r="A17" s="10" t="s">
        <v>20</v>
      </c>
      <c r="B17" s="11">
        <v>8605914000</v>
      </c>
      <c r="C17" s="11">
        <v>8353631020</v>
      </c>
      <c r="D17" s="11">
        <v>10499785000</v>
      </c>
      <c r="E17" s="11">
        <v>6029093409</v>
      </c>
      <c r="F17" s="11">
        <v>10323656000</v>
      </c>
      <c r="G17" s="11">
        <v>8726081082</v>
      </c>
      <c r="H17" s="11">
        <v>7237793000</v>
      </c>
      <c r="I17" s="11">
        <v>3581641733</v>
      </c>
      <c r="J17" s="11">
        <v>16541673000</v>
      </c>
      <c r="K17" s="11">
        <v>14399640170</v>
      </c>
      <c r="L17" s="3"/>
      <c r="M17" s="9" t="s">
        <v>20</v>
      </c>
      <c r="N17" s="13">
        <v>16541673000</v>
      </c>
      <c r="O17" s="13">
        <v>14399640170</v>
      </c>
      <c r="P17" s="13">
        <f>P11-P16</f>
        <v>8521272000</v>
      </c>
      <c r="Q17" s="14">
        <f>(P17-N17)/P17</f>
        <v>-0.94122109938516219</v>
      </c>
      <c r="R17" s="13">
        <f>R11-R16</f>
        <v>3479518330</v>
      </c>
      <c r="S17" s="14">
        <f t="shared" si="2"/>
        <v>-1.4489803449318228</v>
      </c>
      <c r="T17" s="13">
        <f>T11-T16</f>
        <v>4059530888.5749969</v>
      </c>
      <c r="U17" s="14">
        <f t="shared" si="3"/>
        <v>0.14287674475081941</v>
      </c>
      <c r="V17" s="13">
        <f>V11-V16</f>
        <v>7133661549.5547943</v>
      </c>
      <c r="W17" s="14">
        <f t="shared" si="4"/>
        <v>0.43093306847051793</v>
      </c>
      <c r="X17" s="13">
        <f>X11-X16</f>
        <v>3598687984.6007614</v>
      </c>
      <c r="Y17" s="14">
        <f t="shared" si="5"/>
        <v>-0.98229509756906674</v>
      </c>
    </row>
    <row r="18" spans="1:25" x14ac:dyDescent="0.25">
      <c r="A18" s="23" t="s">
        <v>21</v>
      </c>
      <c r="B18" s="24">
        <f t="shared" ref="B18:G18" si="6">SUM(B15:B17)</f>
        <v>34233136000</v>
      </c>
      <c r="C18" s="24">
        <f t="shared" si="6"/>
        <v>29406540662</v>
      </c>
      <c r="D18" s="24">
        <f t="shared" si="6"/>
        <v>40262087000</v>
      </c>
      <c r="E18" s="24">
        <f t="shared" si="6"/>
        <v>30024499426</v>
      </c>
      <c r="F18" s="24">
        <f t="shared" si="6"/>
        <v>45014062000</v>
      </c>
      <c r="G18" s="24">
        <f t="shared" si="6"/>
        <v>35115289860</v>
      </c>
      <c r="H18" s="24">
        <f t="shared" ref="H18:K18" si="7">SUM(H15:H17)</f>
        <v>45821381000</v>
      </c>
      <c r="I18" s="24">
        <f t="shared" si="7"/>
        <v>34632923733</v>
      </c>
      <c r="J18" s="24">
        <f t="shared" si="7"/>
        <v>46415555000</v>
      </c>
      <c r="K18" s="24">
        <f t="shared" si="7"/>
        <v>36149907755</v>
      </c>
      <c r="L18" s="3"/>
      <c r="M18" s="25" t="s">
        <v>21</v>
      </c>
      <c r="N18" s="20">
        <f>SUM(N16:N17)</f>
        <v>46415555000</v>
      </c>
      <c r="O18" s="20">
        <f>SUM(O16:O17)</f>
        <v>36149907755</v>
      </c>
      <c r="P18" s="20">
        <f>SUM(P16:P17)</f>
        <v>38670350000</v>
      </c>
      <c r="Q18" s="14">
        <f t="shared" si="1"/>
        <v>-0.20028794670852476</v>
      </c>
      <c r="R18" s="20">
        <f>SUM(R16:R17)</f>
        <v>39733784625</v>
      </c>
      <c r="S18" s="14">
        <f t="shared" si="2"/>
        <v>2.6763990267639901E-2</v>
      </c>
      <c r="T18" s="20">
        <f>SUM(T16:T17)</f>
        <v>42217146164.0625</v>
      </c>
      <c r="U18" s="14">
        <f>(T18-R18)/T18</f>
        <v>5.8823529411764705E-2</v>
      </c>
      <c r="V18" s="20">
        <f>SUM(V16:V17)</f>
        <v>43631420560.558594</v>
      </c>
      <c r="W18" s="14">
        <f t="shared" si="4"/>
        <v>3.2414126753749398E-2</v>
      </c>
      <c r="X18" s="20">
        <f>SUM(X16:X17)</f>
        <v>45114888859.617584</v>
      </c>
      <c r="Y18" s="14">
        <f t="shared" si="5"/>
        <v>3.2882011605415824E-2</v>
      </c>
    </row>
    <row r="19" spans="1:25" x14ac:dyDescent="0.25">
      <c r="A19" s="10" t="s">
        <v>13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3"/>
      <c r="M19" s="9" t="s">
        <v>13</v>
      </c>
      <c r="N19" s="13"/>
      <c r="O19" s="13"/>
      <c r="P19" s="13"/>
      <c r="Q19" s="14"/>
      <c r="R19" s="13"/>
      <c r="S19" s="14"/>
      <c r="T19" s="13"/>
      <c r="U19" s="14"/>
      <c r="V19" s="13"/>
      <c r="W19" s="14"/>
      <c r="X19" s="13"/>
      <c r="Y19" s="14"/>
    </row>
    <row r="20" spans="1:25" x14ac:dyDescent="0.25">
      <c r="A20" s="10" t="s">
        <v>18</v>
      </c>
      <c r="B20" s="11">
        <v>33573222000</v>
      </c>
      <c r="C20" s="11">
        <v>39787129541</v>
      </c>
      <c r="D20" s="11">
        <v>33594293000</v>
      </c>
      <c r="E20" s="11">
        <v>33573605848</v>
      </c>
      <c r="F20" s="11">
        <v>37366450000</v>
      </c>
      <c r="G20" s="11">
        <v>36700500000</v>
      </c>
      <c r="H20" s="11">
        <v>48620757000</v>
      </c>
      <c r="I20" s="11">
        <v>44267263698</v>
      </c>
      <c r="J20" s="11">
        <v>62772686000</v>
      </c>
      <c r="K20" s="11">
        <v>55824478077</v>
      </c>
      <c r="L20" s="3"/>
      <c r="M20" s="9" t="s">
        <v>18</v>
      </c>
      <c r="N20" s="13">
        <v>62772686000</v>
      </c>
      <c r="O20" s="13">
        <v>55824478077</v>
      </c>
      <c r="P20" s="13">
        <v>81586430000</v>
      </c>
      <c r="Q20" s="14">
        <f>(P20-N20)/P20</f>
        <v>0.23059893661237538</v>
      </c>
      <c r="R20" s="13">
        <f>P20+(P20*7.41%)</f>
        <v>87631984463</v>
      </c>
      <c r="S20" s="14">
        <f t="shared" ref="S20:S24" si="8">(R20-P20)/R20</f>
        <v>6.8987989945070285E-2</v>
      </c>
      <c r="T20" s="13">
        <f>R20+(R20*6.17%)</f>
        <v>93038877904.367096</v>
      </c>
      <c r="U20" s="14">
        <f t="shared" ref="U20:U24" si="9">(T20-R20)/T20</f>
        <v>5.811434491852685E-2</v>
      </c>
      <c r="V20" s="13">
        <f>T20+(T20*5%)</f>
        <v>97690821799.585449</v>
      </c>
      <c r="W20" s="14">
        <f t="shared" ref="W20:W24" si="10">(V20-T20)/V20</f>
        <v>4.7619047619047603E-2</v>
      </c>
      <c r="X20" s="13">
        <f>V20+(V20*3%)</f>
        <v>100621546453.57301</v>
      </c>
      <c r="Y20" s="14">
        <f t="shared" si="5"/>
        <v>2.9126213592233014E-2</v>
      </c>
    </row>
    <row r="21" spans="1:25" x14ac:dyDescent="0.25">
      <c r="A21" s="10" t="s">
        <v>19</v>
      </c>
      <c r="B21" s="11">
        <v>9441058000</v>
      </c>
      <c r="C21" s="11">
        <v>9434291356</v>
      </c>
      <c r="D21" s="11">
        <v>12890983000</v>
      </c>
      <c r="E21" s="11">
        <v>11754996648</v>
      </c>
      <c r="F21" s="11">
        <v>11711377000</v>
      </c>
      <c r="G21" s="11">
        <v>11658000000</v>
      </c>
      <c r="H21" s="11">
        <v>11614346000</v>
      </c>
      <c r="I21" s="11">
        <v>10396925121</v>
      </c>
      <c r="J21" s="11">
        <v>13235685000</v>
      </c>
      <c r="K21" s="11">
        <v>11761657210</v>
      </c>
      <c r="L21" s="3"/>
      <c r="M21" s="9" t="s">
        <v>19</v>
      </c>
      <c r="N21" s="13">
        <v>13235685000</v>
      </c>
      <c r="O21" s="13">
        <v>11761657210</v>
      </c>
      <c r="P21" s="13">
        <f>5313000000+6301346000-250000000</f>
        <v>11364346000</v>
      </c>
      <c r="Q21" s="14">
        <f t="shared" ref="Q21:Q24" si="11">(P21-N21)/P21</f>
        <v>-0.16466754884090998</v>
      </c>
      <c r="R21" s="13">
        <v>11932563000</v>
      </c>
      <c r="S21" s="14">
        <f t="shared" si="8"/>
        <v>4.7619023674964046E-2</v>
      </c>
      <c r="T21" s="13">
        <v>12648517000</v>
      </c>
      <c r="U21" s="14">
        <f t="shared" si="9"/>
        <v>5.6603789993720212E-2</v>
      </c>
      <c r="V21" s="13">
        <v>13407428000</v>
      </c>
      <c r="W21" s="14">
        <f t="shared" si="10"/>
        <v>5.6603772177631684E-2</v>
      </c>
      <c r="X21" s="13">
        <f>V21+(V21*3.7%)</f>
        <v>13903502836</v>
      </c>
      <c r="Y21" s="14">
        <f t="shared" si="5"/>
        <v>3.5679845708775311E-2</v>
      </c>
    </row>
    <row r="22" spans="1:25" x14ac:dyDescent="0.25">
      <c r="A22" s="10" t="s">
        <v>20</v>
      </c>
      <c r="B22" s="11">
        <v>313875000</v>
      </c>
      <c r="C22" s="26">
        <v>313873000</v>
      </c>
      <c r="D22" s="11">
        <v>332150000</v>
      </c>
      <c r="E22" s="11">
        <v>318845700</v>
      </c>
      <c r="F22" s="11">
        <v>214900000</v>
      </c>
      <c r="G22" s="11">
        <v>214900000</v>
      </c>
      <c r="H22" s="11">
        <v>264900000</v>
      </c>
      <c r="I22" s="11">
        <v>263905000</v>
      </c>
      <c r="J22" s="11"/>
      <c r="K22" s="11"/>
      <c r="L22" s="3"/>
      <c r="M22" s="9" t="s">
        <v>20</v>
      </c>
      <c r="N22" s="61"/>
      <c r="O22" s="61"/>
      <c r="P22" s="61"/>
      <c r="Q22" s="62"/>
      <c r="R22" s="61"/>
      <c r="S22" s="62"/>
      <c r="T22" s="61"/>
      <c r="U22" s="62"/>
      <c r="V22" s="61"/>
      <c r="W22" s="62"/>
      <c r="X22" s="61"/>
      <c r="Y22" s="62"/>
    </row>
    <row r="23" spans="1:25" x14ac:dyDescent="0.25">
      <c r="A23" s="10" t="s">
        <v>22</v>
      </c>
      <c r="B23" s="11">
        <v>7840800000</v>
      </c>
      <c r="C23" s="11">
        <v>7840800000</v>
      </c>
      <c r="D23" s="11">
        <v>8665800000</v>
      </c>
      <c r="E23" s="11">
        <v>8665800000</v>
      </c>
      <c r="F23" s="11">
        <v>10718400000</v>
      </c>
      <c r="G23" s="11">
        <v>10718400000</v>
      </c>
      <c r="H23" s="11">
        <v>13992000000</v>
      </c>
      <c r="I23" s="11">
        <v>13992000000</v>
      </c>
      <c r="J23" s="11">
        <v>16203000000</v>
      </c>
      <c r="K23" s="11">
        <v>16203000000</v>
      </c>
      <c r="L23" s="3"/>
      <c r="M23" s="9" t="s">
        <v>22</v>
      </c>
      <c r="N23" s="13">
        <v>16203000000</v>
      </c>
      <c r="O23" s="13">
        <v>16203000000</v>
      </c>
      <c r="P23" s="61"/>
      <c r="Q23" s="62"/>
      <c r="R23" s="61"/>
      <c r="S23" s="62"/>
      <c r="T23" s="61"/>
      <c r="U23" s="62"/>
      <c r="V23" s="61"/>
      <c r="W23" s="62"/>
      <c r="X23" s="61"/>
      <c r="Y23" s="62"/>
    </row>
    <row r="24" spans="1:25" x14ac:dyDescent="0.25">
      <c r="A24" s="23" t="s">
        <v>23</v>
      </c>
      <c r="B24" s="24">
        <f t="shared" ref="B24:E24" si="12">SUM(B20:B23)</f>
        <v>51168955000</v>
      </c>
      <c r="C24" s="24">
        <f t="shared" si="12"/>
        <v>57376093897</v>
      </c>
      <c r="D24" s="24">
        <f t="shared" si="12"/>
        <v>55483226000</v>
      </c>
      <c r="E24" s="24">
        <f t="shared" si="12"/>
        <v>54313248196</v>
      </c>
      <c r="F24" s="24">
        <f>SUM(F20:F23)</f>
        <v>60011127000</v>
      </c>
      <c r="G24" s="24">
        <f>SUM(G20:G23)</f>
        <v>59291800000</v>
      </c>
      <c r="H24" s="24">
        <f t="shared" ref="H24:I24" si="13">SUM(H20:H23)</f>
        <v>74492003000</v>
      </c>
      <c r="I24" s="24">
        <f t="shared" si="13"/>
        <v>68920093819</v>
      </c>
      <c r="J24" s="24">
        <f>SUM(J20:J23)</f>
        <v>92211371000</v>
      </c>
      <c r="K24" s="24">
        <f>SUM(K20:K23)</f>
        <v>83789135287</v>
      </c>
      <c r="L24" s="3"/>
      <c r="M24" s="25" t="s">
        <v>23</v>
      </c>
      <c r="N24" s="20">
        <f t="shared" ref="N24:O24" si="14">SUM(N20:N23)</f>
        <v>92211371000</v>
      </c>
      <c r="O24" s="20">
        <f t="shared" si="14"/>
        <v>83789135287</v>
      </c>
      <c r="P24" s="20">
        <f t="shared" ref="P24" si="15">SUM(P20:P23)</f>
        <v>92950776000</v>
      </c>
      <c r="Q24" s="14">
        <f t="shared" si="11"/>
        <v>7.9548017974589037E-3</v>
      </c>
      <c r="R24" s="20">
        <f t="shared" ref="R24" si="16">SUM(R20:R23)</f>
        <v>99564547463</v>
      </c>
      <c r="S24" s="14">
        <f t="shared" si="8"/>
        <v>6.6426972567296586E-2</v>
      </c>
      <c r="T24" s="20">
        <f t="shared" ref="T24" si="17">SUM(T20:T23)</f>
        <v>105687394904.3671</v>
      </c>
      <c r="U24" s="14">
        <f t="shared" si="9"/>
        <v>5.7933563855060016E-2</v>
      </c>
      <c r="V24" s="20">
        <f t="shared" ref="V24" si="18">SUM(V20:V23)</f>
        <v>111098249799.58545</v>
      </c>
      <c r="W24" s="14">
        <f t="shared" si="10"/>
        <v>4.8703331555440425E-2</v>
      </c>
      <c r="X24" s="20">
        <f t="shared" ref="X24" si="19">SUM(X20:X23)</f>
        <v>114525049289.57301</v>
      </c>
      <c r="Y24" s="14">
        <f t="shared" si="5"/>
        <v>2.9921833793085811E-2</v>
      </c>
    </row>
    <row r="25" spans="1:25" x14ac:dyDescent="0.25">
      <c r="A25" s="10" t="s">
        <v>44</v>
      </c>
      <c r="B25" s="11"/>
      <c r="C25" s="11"/>
      <c r="D25" s="11">
        <v>36250000000</v>
      </c>
      <c r="E25" s="11">
        <v>35163254374</v>
      </c>
      <c r="F25" s="11"/>
      <c r="G25" s="11"/>
      <c r="H25" s="11">
        <v>57298000000</v>
      </c>
      <c r="I25" s="11">
        <v>56982251137</v>
      </c>
      <c r="J25" s="11"/>
      <c r="K25" s="11"/>
      <c r="L25" s="3"/>
      <c r="M25" s="9" t="s">
        <v>44</v>
      </c>
      <c r="N25" s="13"/>
      <c r="O25" s="13"/>
      <c r="P25" s="13"/>
      <c r="Q25" s="14"/>
      <c r="R25" s="13"/>
      <c r="S25" s="22"/>
      <c r="T25" s="13"/>
      <c r="U25" s="22"/>
      <c r="V25" s="13">
        <v>90000000000</v>
      </c>
      <c r="W25" s="22"/>
      <c r="X25" s="13"/>
      <c r="Y25" s="22"/>
    </row>
    <row r="26" spans="1:25" x14ac:dyDescent="0.25">
      <c r="A26" s="23" t="s">
        <v>43</v>
      </c>
      <c r="B26" s="24"/>
      <c r="C26" s="24"/>
      <c r="D26" s="24">
        <f>D25</f>
        <v>36250000000</v>
      </c>
      <c r="E26" s="24">
        <f>E25</f>
        <v>35163254374</v>
      </c>
      <c r="F26" s="24"/>
      <c r="G26" s="24"/>
      <c r="H26" s="24">
        <f>H25</f>
        <v>57298000000</v>
      </c>
      <c r="I26" s="24">
        <f>I25</f>
        <v>56982251137</v>
      </c>
      <c r="J26" s="24"/>
      <c r="K26" s="24"/>
      <c r="L26" s="3"/>
      <c r="M26" s="25" t="s">
        <v>43</v>
      </c>
      <c r="N26" s="38"/>
      <c r="O26" s="20"/>
      <c r="P26" s="20"/>
      <c r="Q26" s="38"/>
      <c r="R26" s="38"/>
      <c r="S26" s="38"/>
      <c r="T26" s="20"/>
      <c r="U26" s="38"/>
      <c r="V26" s="38">
        <f t="shared" ref="V26:X26" si="20">V25</f>
        <v>90000000000</v>
      </c>
      <c r="W26" s="38"/>
      <c r="X26" s="20">
        <f t="shared" si="20"/>
        <v>0</v>
      </c>
      <c r="Y26" s="38">
        <f t="shared" ref="Y26" si="21">Y25</f>
        <v>0</v>
      </c>
    </row>
    <row r="27" spans="1:25" x14ac:dyDescent="0.25">
      <c r="A27" s="16" t="s">
        <v>27</v>
      </c>
      <c r="B27" s="17">
        <f>B18+B24+B26</f>
        <v>85402091000</v>
      </c>
      <c r="C27" s="17">
        <f t="shared" ref="C27:G27" si="22">C18+C24+C26</f>
        <v>86782634559</v>
      </c>
      <c r="D27" s="17">
        <f t="shared" si="22"/>
        <v>131995313000</v>
      </c>
      <c r="E27" s="17">
        <f t="shared" si="22"/>
        <v>119501001996</v>
      </c>
      <c r="F27" s="17">
        <f t="shared" si="22"/>
        <v>105025189000</v>
      </c>
      <c r="G27" s="17">
        <f t="shared" si="22"/>
        <v>94407089860</v>
      </c>
      <c r="H27" s="17">
        <f>H18+H24+H26</f>
        <v>177611384000</v>
      </c>
      <c r="I27" s="17">
        <f t="shared" ref="I27:K27" si="23">I18+I24+I26</f>
        <v>160535268689</v>
      </c>
      <c r="J27" s="17">
        <f t="shared" si="23"/>
        <v>138626926000</v>
      </c>
      <c r="K27" s="17">
        <f t="shared" si="23"/>
        <v>119939043042</v>
      </c>
      <c r="L27" s="3"/>
      <c r="M27" s="18" t="s">
        <v>27</v>
      </c>
      <c r="N27" s="27">
        <f>N18+N24+N26</f>
        <v>138626926000</v>
      </c>
      <c r="O27" s="27">
        <f>O18+O24+O26</f>
        <v>119939043042</v>
      </c>
      <c r="P27" s="27">
        <f>P18+P24+P26</f>
        <v>131621126000</v>
      </c>
      <c r="Q27" s="21">
        <f>(P27-N27)/P27</f>
        <v>-5.3227017674958958E-2</v>
      </c>
      <c r="R27" s="27">
        <f>R18+R24+R26</f>
        <v>139298332088</v>
      </c>
      <c r="S27" s="21">
        <f>(R27-P27)/R27</f>
        <v>5.5113409995103314E-2</v>
      </c>
      <c r="T27" s="27">
        <f>T18+T24+T26</f>
        <v>147904541068.4296</v>
      </c>
      <c r="U27" s="21">
        <f>(T27-R27)/T27</f>
        <v>5.8187591254874604E-2</v>
      </c>
      <c r="V27" s="27">
        <f>V18+V24+V26</f>
        <v>244729670360.14404</v>
      </c>
      <c r="W27" s="21">
        <f>(V27-T27)/V27</f>
        <v>0.39564115437750824</v>
      </c>
      <c r="X27" s="27">
        <f>X18+X24+X26</f>
        <v>159639938149.19061</v>
      </c>
      <c r="Y27" s="21">
        <f>(X27-V27)/X27</f>
        <v>-0.53301030555044004</v>
      </c>
    </row>
    <row r="28" spans="1:25" x14ac:dyDescent="0.25">
      <c r="L28" s="3"/>
      <c r="M28" s="3"/>
      <c r="N28" s="28"/>
      <c r="O28" s="28"/>
      <c r="P28" s="28"/>
      <c r="Q28" s="3"/>
      <c r="R28" s="28"/>
      <c r="S28" s="3"/>
      <c r="T28" s="28"/>
      <c r="U28" s="3"/>
      <c r="V28" s="28"/>
      <c r="W28" s="3"/>
      <c r="X28" s="28"/>
      <c r="Y28" s="3"/>
    </row>
    <row r="29" spans="1:25" x14ac:dyDescent="0.25">
      <c r="L29" s="3"/>
      <c r="M29" s="3"/>
      <c r="N29" s="28"/>
      <c r="O29" s="28"/>
      <c r="P29" s="28"/>
      <c r="Q29" s="3"/>
      <c r="R29" s="28"/>
      <c r="S29" s="3"/>
      <c r="T29" s="28"/>
      <c r="U29" s="3"/>
      <c r="V29" s="28"/>
      <c r="W29" s="3"/>
      <c r="X29" s="28"/>
      <c r="Y29" s="3"/>
    </row>
    <row r="30" spans="1:25" x14ac:dyDescent="0.25">
      <c r="L30" s="3"/>
      <c r="M30" s="63" t="s">
        <v>28</v>
      </c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</row>
    <row r="31" spans="1:25" x14ac:dyDescent="0.25">
      <c r="L31" s="3"/>
      <c r="M31" s="63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</row>
    <row r="32" spans="1:25" x14ac:dyDescent="0.25">
      <c r="A32" s="23" t="s">
        <v>29</v>
      </c>
      <c r="B32" s="10"/>
      <c r="C32" s="10"/>
      <c r="D32" s="59">
        <v>2021</v>
      </c>
      <c r="E32" s="59">
        <v>2022</v>
      </c>
      <c r="F32" s="59">
        <v>2023</v>
      </c>
      <c r="G32" s="59">
        <v>2024</v>
      </c>
      <c r="H32" s="59">
        <v>2025</v>
      </c>
      <c r="L32" s="3"/>
      <c r="M32" s="65" t="s">
        <v>3</v>
      </c>
      <c r="N32" s="67" t="s">
        <v>4</v>
      </c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</row>
    <row r="33" spans="1:25" ht="45" x14ac:dyDescent="0.25">
      <c r="A33" s="10" t="s">
        <v>30</v>
      </c>
      <c r="B33" s="58"/>
      <c r="C33" s="10"/>
      <c r="D33" s="60">
        <f>C11/B11</f>
        <v>0.92055216180019261</v>
      </c>
      <c r="E33" s="60">
        <f>E11/D11</f>
        <v>0.85636310658484305</v>
      </c>
      <c r="F33" s="60">
        <f>G11/F11</f>
        <v>0.80608268010446738</v>
      </c>
      <c r="G33" s="60">
        <f>I11/H11</f>
        <v>0.81538340850361024</v>
      </c>
      <c r="H33" s="60">
        <f>K11/J11</f>
        <v>0.82189960399536965</v>
      </c>
      <c r="L33" s="3"/>
      <c r="M33" s="66"/>
      <c r="N33" s="68" t="s">
        <v>46</v>
      </c>
      <c r="O33" s="69"/>
      <c r="P33" s="35">
        <v>2026</v>
      </c>
      <c r="Q33" s="36" t="s">
        <v>5</v>
      </c>
      <c r="R33" s="35">
        <v>2027</v>
      </c>
      <c r="S33" s="34" t="s">
        <v>6</v>
      </c>
      <c r="T33" s="35">
        <v>2028</v>
      </c>
      <c r="U33" s="34" t="s">
        <v>6</v>
      </c>
      <c r="V33" s="35">
        <v>2029</v>
      </c>
      <c r="W33" s="7" t="s">
        <v>6</v>
      </c>
      <c r="X33" s="35">
        <v>2030</v>
      </c>
      <c r="Y33" s="7" t="s">
        <v>6</v>
      </c>
    </row>
    <row r="34" spans="1:25" x14ac:dyDescent="0.25">
      <c r="A34" s="10" t="s">
        <v>31</v>
      </c>
      <c r="B34" s="10"/>
      <c r="C34" s="10"/>
      <c r="D34" s="60">
        <f>C11/C27</f>
        <v>0.36313010673322349</v>
      </c>
      <c r="E34" s="60">
        <f>E11/E27</f>
        <v>0.29143888267284784</v>
      </c>
      <c r="F34" s="60">
        <f>G11/G27</f>
        <v>0.38822901876704452</v>
      </c>
      <c r="G34" s="60">
        <f>I11/I27</f>
        <v>0.2356434247061629</v>
      </c>
      <c r="H34" s="60">
        <f>K11/K27</f>
        <v>0.32203590899482576</v>
      </c>
      <c r="L34" s="3"/>
      <c r="M34" s="30"/>
      <c r="N34" s="8" t="s">
        <v>9</v>
      </c>
      <c r="O34" s="8" t="s">
        <v>8</v>
      </c>
      <c r="P34" s="8" t="s">
        <v>10</v>
      </c>
      <c r="Q34" s="6"/>
      <c r="R34" s="8" t="s">
        <v>10</v>
      </c>
      <c r="S34" s="4"/>
      <c r="T34" s="8" t="s">
        <v>10</v>
      </c>
      <c r="U34" s="4"/>
      <c r="V34" s="8" t="s">
        <v>10</v>
      </c>
      <c r="W34" s="9"/>
      <c r="X34" s="8" t="s">
        <v>10</v>
      </c>
      <c r="Y34" s="9"/>
    </row>
    <row r="35" spans="1:25" x14ac:dyDescent="0.25">
      <c r="A35" s="10" t="s">
        <v>32</v>
      </c>
      <c r="B35" s="10"/>
      <c r="C35" s="10"/>
      <c r="D35" s="60">
        <f>(C18+C26)/C27</f>
        <v>0.33885282247346021</v>
      </c>
      <c r="E35" s="60">
        <f>(E18+E26)/E27</f>
        <v>0.54549964193757972</v>
      </c>
      <c r="F35" s="60">
        <f>(G18+G26)/G27</f>
        <v>0.37195606719870139</v>
      </c>
      <c r="G35" s="60">
        <f>(I18+I26)/I27</f>
        <v>0.57068565442453167</v>
      </c>
      <c r="H35" s="60">
        <f>(K18+K26)/K27</f>
        <v>0.30140233603782468</v>
      </c>
      <c r="L35" s="3"/>
      <c r="M35" s="51" t="s">
        <v>11</v>
      </c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3"/>
    </row>
    <row r="36" spans="1:25" x14ac:dyDescent="0.25">
      <c r="A36" s="10" t="s">
        <v>33</v>
      </c>
      <c r="B36" s="10"/>
      <c r="C36" s="10"/>
      <c r="D36" s="60">
        <f>(C18+C26)/C11</f>
        <v>0.93314439147399364</v>
      </c>
      <c r="E36" s="60">
        <f>(E18+E26)/E11</f>
        <v>1.8717462712411148</v>
      </c>
      <c r="F36" s="60">
        <f>(G18+G26)/G11</f>
        <v>0.95808414419915455</v>
      </c>
      <c r="G36" s="60">
        <f>(I18+I26)/I11</f>
        <v>2.4218187082289773</v>
      </c>
      <c r="H36" s="60">
        <f>(K18+K26)/K11</f>
        <v>0.93592772613027886</v>
      </c>
      <c r="L36" s="3"/>
      <c r="M36" s="9" t="s">
        <v>12</v>
      </c>
      <c r="N36" s="13">
        <v>46994400000</v>
      </c>
      <c r="O36" s="13">
        <v>38624678750</v>
      </c>
      <c r="P36" s="13">
        <v>38670350000</v>
      </c>
      <c r="Q36" s="14"/>
      <c r="R36" s="13">
        <v>39380750000</v>
      </c>
      <c r="S36" s="14"/>
      <c r="T36" s="13">
        <v>40441250000</v>
      </c>
      <c r="U36" s="14"/>
      <c r="V36" s="13">
        <v>40961075000</v>
      </c>
      <c r="W36" s="14"/>
      <c r="X36" s="13">
        <v>41748950000</v>
      </c>
      <c r="Y36" s="14"/>
    </row>
    <row r="37" spans="1:25" x14ac:dyDescent="0.25">
      <c r="L37" s="3"/>
      <c r="M37" s="9" t="s">
        <v>13</v>
      </c>
      <c r="N37" s="13"/>
      <c r="O37" s="13"/>
      <c r="P37" s="13"/>
      <c r="Q37" s="14"/>
      <c r="R37" s="13"/>
      <c r="S37" s="14"/>
      <c r="T37" s="13"/>
      <c r="U37" s="14"/>
      <c r="V37" s="13"/>
      <c r="W37" s="14"/>
      <c r="X37" s="13"/>
      <c r="Y37" s="14"/>
    </row>
    <row r="38" spans="1:25" x14ac:dyDescent="0.25">
      <c r="A38" s="29" t="s">
        <v>34</v>
      </c>
      <c r="L38" s="3"/>
      <c r="M38" s="9" t="s">
        <v>47</v>
      </c>
      <c r="N38" s="13"/>
      <c r="O38" s="13"/>
      <c r="P38" s="13"/>
      <c r="Q38" s="14"/>
      <c r="R38" s="13"/>
      <c r="S38" s="14"/>
      <c r="T38" s="13"/>
      <c r="U38" s="14"/>
      <c r="V38" s="13"/>
      <c r="W38" s="14"/>
      <c r="X38" s="13"/>
      <c r="Y38" s="14"/>
    </row>
    <row r="39" spans="1:25" x14ac:dyDescent="0.25">
      <c r="A39" t="s">
        <v>35</v>
      </c>
      <c r="G39" s="37"/>
      <c r="L39" s="3"/>
      <c r="M39" s="18" t="s">
        <v>16</v>
      </c>
      <c r="N39" s="20">
        <f>SUM(N35:N38)</f>
        <v>46994400000</v>
      </c>
      <c r="O39" s="20">
        <f t="shared" ref="O39:V39" si="24">SUM(O35:O38)</f>
        <v>38624678750</v>
      </c>
      <c r="P39" s="20">
        <f t="shared" si="24"/>
        <v>38670350000</v>
      </c>
      <c r="Q39" s="21">
        <f t="shared" ref="Q39" si="25">(P39-O39)/P39</f>
        <v>1.181040512951137E-3</v>
      </c>
      <c r="R39" s="20">
        <f t="shared" si="24"/>
        <v>39380750000</v>
      </c>
      <c r="S39" s="21">
        <f>(R39-P39)/R39</f>
        <v>1.8039270455742971E-2</v>
      </c>
      <c r="T39" s="20">
        <f t="shared" si="24"/>
        <v>40441250000</v>
      </c>
      <c r="U39" s="21">
        <f>(T39-R39)/T39</f>
        <v>2.6223225048681728E-2</v>
      </c>
      <c r="V39" s="20">
        <f t="shared" si="24"/>
        <v>40961075000</v>
      </c>
      <c r="W39" s="21">
        <f>(V39-T39)/V39</f>
        <v>1.2690706969970881E-2</v>
      </c>
      <c r="X39" s="20">
        <f>SUM(X36:X38)</f>
        <v>41748950000</v>
      </c>
      <c r="Y39" s="21">
        <f>(X39-V39)/X39</f>
        <v>1.8871732103442122E-2</v>
      </c>
    </row>
    <row r="40" spans="1:25" x14ac:dyDescent="0.25">
      <c r="A40" t="s">
        <v>36</v>
      </c>
      <c r="L40" s="3"/>
      <c r="M40" s="54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6"/>
    </row>
    <row r="41" spans="1:25" x14ac:dyDescent="0.25">
      <c r="A41" t="s">
        <v>37</v>
      </c>
      <c r="L41" s="3"/>
      <c r="M41" s="51" t="s">
        <v>17</v>
      </c>
      <c r="N41" s="52"/>
      <c r="O41" s="52"/>
      <c r="P41" s="52"/>
      <c r="Q41" s="52"/>
      <c r="R41" s="52"/>
      <c r="S41" s="52"/>
      <c r="T41" s="52"/>
      <c r="U41" s="52"/>
      <c r="V41" s="53"/>
      <c r="W41" s="9"/>
      <c r="X41" s="13"/>
      <c r="Y41" s="9"/>
    </row>
    <row r="42" spans="1:25" x14ac:dyDescent="0.25">
      <c r="A42" t="s">
        <v>38</v>
      </c>
      <c r="L42" s="3"/>
      <c r="M42" s="9" t="s">
        <v>12</v>
      </c>
      <c r="N42" s="13"/>
      <c r="O42" s="13"/>
      <c r="P42" s="13"/>
      <c r="Q42" s="22"/>
      <c r="R42" s="13"/>
      <c r="S42" s="22"/>
      <c r="T42" s="13"/>
      <c r="U42" s="14"/>
      <c r="V42" s="13"/>
      <c r="W42" s="14"/>
      <c r="X42" s="13"/>
      <c r="Y42" s="14"/>
    </row>
    <row r="43" spans="1:25" x14ac:dyDescent="0.25">
      <c r="L43" s="3"/>
      <c r="M43" s="9" t="s">
        <v>18</v>
      </c>
      <c r="N43" s="13"/>
      <c r="O43" s="13"/>
      <c r="P43" s="13"/>
      <c r="Q43" s="22"/>
      <c r="R43" s="13"/>
      <c r="S43" s="14"/>
      <c r="T43" s="13"/>
      <c r="U43" s="14"/>
      <c r="V43" s="13"/>
      <c r="W43" s="14"/>
      <c r="X43" s="13"/>
      <c r="Y43" s="14"/>
    </row>
    <row r="44" spans="1:25" x14ac:dyDescent="0.25">
      <c r="A44" s="29" t="s">
        <v>39</v>
      </c>
      <c r="L44" s="3"/>
      <c r="M44" s="9" t="s">
        <v>19</v>
      </c>
      <c r="N44" s="13">
        <v>29873882000</v>
      </c>
      <c r="O44" s="13">
        <v>21750267585</v>
      </c>
      <c r="P44" s="13">
        <v>35204575000</v>
      </c>
      <c r="Q44" s="14">
        <f t="shared" ref="Q44:Q46" si="26">(P44-O44)/P44</f>
        <v>0.38217497058265865</v>
      </c>
      <c r="R44" s="13">
        <v>36734198000</v>
      </c>
      <c r="S44" s="14">
        <f t="shared" ref="S44:S45" si="27">(R44-P44)/R44</f>
        <v>4.1640299319996042E-2</v>
      </c>
      <c r="T44" s="13">
        <v>36952416000</v>
      </c>
      <c r="U44" s="14">
        <f t="shared" ref="U44:U45" si="28">(T44-R44)/T44</f>
        <v>5.9053784196410868E-3</v>
      </c>
      <c r="V44" s="13">
        <v>33839063000</v>
      </c>
      <c r="W44" s="14">
        <f t="shared" ref="W44:W45" si="29">(V44-T44)/V44</f>
        <v>-9.2004704740199214E-2</v>
      </c>
      <c r="X44" s="13">
        <v>37518419000</v>
      </c>
      <c r="Y44" s="14">
        <f t="shared" ref="Y44:Y46" si="30">(X44-V44)/X44</f>
        <v>9.8067991617663844E-2</v>
      </c>
    </row>
    <row r="45" spans="1:25" x14ac:dyDescent="0.25">
      <c r="A45" t="s">
        <v>45</v>
      </c>
      <c r="L45" s="3"/>
      <c r="M45" s="9" t="s">
        <v>20</v>
      </c>
      <c r="N45" s="13">
        <v>16541673000</v>
      </c>
      <c r="O45" s="13">
        <v>14399640170</v>
      </c>
      <c r="P45" s="13">
        <f>P39-P44</f>
        <v>3465775000</v>
      </c>
      <c r="Q45" s="14">
        <f>(P45-O45)/P45</f>
        <v>-3.1548110220657719</v>
      </c>
      <c r="R45" s="13">
        <f>R39-R44</f>
        <v>2646552000</v>
      </c>
      <c r="S45" s="14">
        <f t="shared" si="27"/>
        <v>-0.30954351170881961</v>
      </c>
      <c r="T45" s="13">
        <f>T39-T44</f>
        <v>3488834000</v>
      </c>
      <c r="U45" s="14">
        <f t="shared" si="28"/>
        <v>0.24142220581432078</v>
      </c>
      <c r="V45" s="13">
        <f>V39-V44</f>
        <v>7122012000</v>
      </c>
      <c r="W45" s="14">
        <f t="shared" si="29"/>
        <v>0.51013365324293192</v>
      </c>
      <c r="X45" s="13">
        <f>X39-X44</f>
        <v>4230531000</v>
      </c>
      <c r="Y45" s="14">
        <f t="shared" si="30"/>
        <v>-0.6834794497428337</v>
      </c>
    </row>
    <row r="46" spans="1:25" x14ac:dyDescent="0.25">
      <c r="L46" s="3"/>
      <c r="M46" s="25" t="s">
        <v>21</v>
      </c>
      <c r="N46" s="20">
        <f>SUM(N44:N45)</f>
        <v>46415555000</v>
      </c>
      <c r="O46" s="20">
        <f>SUM(O44:O45)</f>
        <v>36149907755</v>
      </c>
      <c r="P46" s="20">
        <f>SUM(P44:P45)</f>
        <v>38670350000</v>
      </c>
      <c r="Q46" s="21">
        <f t="shared" si="26"/>
        <v>6.517764243147528E-2</v>
      </c>
      <c r="R46" s="20">
        <f>SUM(R44:R45)</f>
        <v>39380750000</v>
      </c>
      <c r="S46" s="21">
        <f t="shared" ref="S46" si="31">(R46-P46)/R46</f>
        <v>1.8039270455742971E-2</v>
      </c>
      <c r="T46" s="20">
        <f>SUM(T44:T45)</f>
        <v>40441250000</v>
      </c>
      <c r="U46" s="21">
        <f t="shared" ref="U46" si="32">(T46-R46)/T46</f>
        <v>2.6223225048681728E-2</v>
      </c>
      <c r="V46" s="20">
        <f>SUM(V44:V45)</f>
        <v>40961075000</v>
      </c>
      <c r="W46" s="21">
        <f>(V46-T46)/V46</f>
        <v>1.2690706969970881E-2</v>
      </c>
      <c r="X46" s="20">
        <f>SUM(X44:X45)</f>
        <v>41748950000</v>
      </c>
      <c r="Y46" s="14">
        <f t="shared" si="30"/>
        <v>1.8871732103442122E-2</v>
      </c>
    </row>
    <row r="47" spans="1:25" x14ac:dyDescent="0.25">
      <c r="L47" s="3"/>
      <c r="M47" s="9" t="s">
        <v>13</v>
      </c>
      <c r="N47" s="13"/>
      <c r="O47" s="13"/>
      <c r="P47" s="13"/>
      <c r="Q47" s="14"/>
      <c r="R47" s="13"/>
      <c r="S47" s="14"/>
      <c r="T47" s="13"/>
      <c r="U47" s="14"/>
      <c r="V47" s="13"/>
      <c r="W47" s="14"/>
      <c r="X47" s="13"/>
      <c r="Y47" s="14"/>
    </row>
    <row r="48" spans="1:25" x14ac:dyDescent="0.25">
      <c r="L48" s="3"/>
      <c r="M48" s="9" t="s">
        <v>18</v>
      </c>
      <c r="N48" s="13">
        <v>62772686000</v>
      </c>
      <c r="O48" s="13">
        <v>55824478077</v>
      </c>
      <c r="P48" s="13">
        <v>81586430000</v>
      </c>
      <c r="Q48" s="14">
        <f t="shared" ref="Q48:Q55" si="33">(P48-O48)/P48</f>
        <v>0.31576270616326757</v>
      </c>
      <c r="R48" s="13">
        <f>P48+(P48*7.41%)</f>
        <v>87631984463</v>
      </c>
      <c r="S48" s="39">
        <f t="shared" ref="S48:S51" si="34">(R48-P48)/R48</f>
        <v>6.8987989945070285E-2</v>
      </c>
      <c r="T48" s="13">
        <f>R48+(R48*6.17%)</f>
        <v>93038877904.367096</v>
      </c>
      <c r="U48" s="39">
        <f t="shared" ref="U48:U51" si="35">(T48-R48)/T48</f>
        <v>5.811434491852685E-2</v>
      </c>
      <c r="V48" s="13">
        <f>T48+(T48*5%)</f>
        <v>97690821799.585449</v>
      </c>
      <c r="W48" s="39">
        <f t="shared" ref="W48:W52" si="36">(V48-T48)/V48</f>
        <v>4.7619047619047603E-2</v>
      </c>
      <c r="X48" s="13">
        <f>V48+(V48*3%)</f>
        <v>100621546453.57301</v>
      </c>
      <c r="Y48" s="14">
        <f t="shared" ref="Y48:Y55" si="37">(X48-V48)/X48</f>
        <v>2.9126213592233014E-2</v>
      </c>
    </row>
    <row r="49" spans="12:25" x14ac:dyDescent="0.25">
      <c r="L49" s="3"/>
      <c r="M49" s="9" t="s">
        <v>19</v>
      </c>
      <c r="N49" s="13">
        <v>13235685000</v>
      </c>
      <c r="O49" s="13">
        <v>11761657210</v>
      </c>
      <c r="P49" s="13">
        <f>5313000000+6301346000-250000000</f>
        <v>11364346000</v>
      </c>
      <c r="Q49" s="14">
        <f t="shared" si="33"/>
        <v>-3.4961203222781144E-2</v>
      </c>
      <c r="R49" s="13">
        <v>11932563000</v>
      </c>
      <c r="S49" s="39">
        <f t="shared" si="34"/>
        <v>4.7619023674964046E-2</v>
      </c>
      <c r="T49" s="13">
        <v>12648517000</v>
      </c>
      <c r="U49" s="39">
        <f t="shared" si="35"/>
        <v>5.6603789993720212E-2</v>
      </c>
      <c r="V49" s="13">
        <v>13407428000</v>
      </c>
      <c r="W49" s="39">
        <f t="shared" si="36"/>
        <v>5.6603772177631684E-2</v>
      </c>
      <c r="X49" s="13">
        <f>V49+(V49*3.7%)</f>
        <v>13903502836</v>
      </c>
      <c r="Y49" s="14">
        <f t="shared" si="37"/>
        <v>3.5679845708775311E-2</v>
      </c>
    </row>
    <row r="50" spans="12:25" x14ac:dyDescent="0.25">
      <c r="L50" s="3"/>
      <c r="M50" s="9" t="s">
        <v>20</v>
      </c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2:25" x14ac:dyDescent="0.25">
      <c r="L51" s="3"/>
      <c r="M51" s="9" t="s">
        <v>22</v>
      </c>
      <c r="N51" s="13">
        <v>16203000000</v>
      </c>
      <c r="O51" s="13">
        <v>16203000000</v>
      </c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2:25" x14ac:dyDescent="0.25">
      <c r="L52" s="3"/>
      <c r="M52" s="25" t="s">
        <v>23</v>
      </c>
      <c r="N52" s="20">
        <f>SUM(N48:N51)</f>
        <v>92211371000</v>
      </c>
      <c r="O52" s="20">
        <f>SUM(O48:O51)</f>
        <v>83789135287</v>
      </c>
      <c r="P52" s="20">
        <f t="shared" ref="P52" si="38">SUM(P48:P51)</f>
        <v>92950776000</v>
      </c>
      <c r="Q52" s="21">
        <f t="shared" si="33"/>
        <v>9.8564434932743333E-2</v>
      </c>
      <c r="R52" s="27">
        <v>72515633000</v>
      </c>
      <c r="S52" s="21">
        <f t="shared" ref="S52" si="39">(R52-P52)/R52</f>
        <v>-0.28180327681894468</v>
      </c>
      <c r="T52" s="27">
        <f>SUM(T48:T51)</f>
        <v>105687394904.3671</v>
      </c>
      <c r="U52" s="21">
        <f t="shared" ref="U52:U55" si="40">(T52-R52)/T52</f>
        <v>0.31386677601792612</v>
      </c>
      <c r="V52" s="27">
        <f>SUM(V48:V51)</f>
        <v>111098249799.58545</v>
      </c>
      <c r="W52" s="21">
        <f t="shared" si="36"/>
        <v>4.8703331555440425E-2</v>
      </c>
      <c r="X52" s="27">
        <f>SUM(X48:X51)</f>
        <v>114525049289.57301</v>
      </c>
      <c r="Y52" s="21">
        <f t="shared" si="37"/>
        <v>2.9921833793085811E-2</v>
      </c>
    </row>
    <row r="53" spans="12:25" x14ac:dyDescent="0.25">
      <c r="L53" s="3"/>
      <c r="M53" s="9" t="s">
        <v>41</v>
      </c>
      <c r="N53" s="20"/>
      <c r="O53" s="20"/>
      <c r="P53" s="20"/>
      <c r="Q53" s="14"/>
      <c r="R53" s="27"/>
      <c r="S53" s="14"/>
      <c r="T53" s="27"/>
      <c r="U53" s="14"/>
      <c r="V53" s="27"/>
      <c r="W53" s="14"/>
      <c r="X53" s="27"/>
      <c r="Y53" s="21"/>
    </row>
    <row r="54" spans="12:25" x14ac:dyDescent="0.25">
      <c r="L54" s="3"/>
      <c r="M54" s="9" t="s">
        <v>44</v>
      </c>
      <c r="N54" s="13"/>
      <c r="O54" s="13"/>
      <c r="P54" s="13"/>
      <c r="Q54" s="14"/>
      <c r="R54" s="13"/>
      <c r="S54" s="14"/>
      <c r="T54" s="13"/>
      <c r="U54" s="14"/>
      <c r="V54" s="13">
        <v>90000000000</v>
      </c>
      <c r="W54" s="14"/>
      <c r="X54" s="13">
        <f>X38</f>
        <v>0</v>
      </c>
      <c r="Y54" s="14" t="e">
        <f>(X54-V54)/X54</f>
        <v>#DIV/0!</v>
      </c>
    </row>
    <row r="55" spans="12:25" x14ac:dyDescent="0.25">
      <c r="L55" s="3"/>
      <c r="M55" s="25" t="s">
        <v>26</v>
      </c>
      <c r="N55" s="20"/>
      <c r="O55" s="20"/>
      <c r="P55" s="20"/>
      <c r="Q55" s="14"/>
      <c r="R55" s="20"/>
      <c r="S55" s="21"/>
      <c r="T55" s="20"/>
      <c r="U55" s="14"/>
      <c r="V55" s="20">
        <v>90000000000</v>
      </c>
      <c r="W55" s="21"/>
      <c r="X55" s="20">
        <f>X54</f>
        <v>0</v>
      </c>
      <c r="Y55" s="14" t="e">
        <f t="shared" si="37"/>
        <v>#DIV/0!</v>
      </c>
    </row>
    <row r="56" spans="12:25" x14ac:dyDescent="0.25">
      <c r="L56" s="3"/>
      <c r="M56" s="18" t="s">
        <v>27</v>
      </c>
      <c r="N56" s="27">
        <f>N46+N52+N55</f>
        <v>138626926000</v>
      </c>
      <c r="O56" s="27">
        <f t="shared" ref="O56:V56" si="41">O46+O52+O55</f>
        <v>119939043042</v>
      </c>
      <c r="P56" s="27">
        <f t="shared" si="41"/>
        <v>131621126000</v>
      </c>
      <c r="Q56" s="21">
        <f t="shared" ref="Q56" si="42">(P56-O56)/P56</f>
        <v>8.8755379269434304E-2</v>
      </c>
      <c r="R56" s="27">
        <f t="shared" si="41"/>
        <v>111896383000</v>
      </c>
      <c r="S56" s="21">
        <f t="shared" ref="S56" si="43">(R56-P56)/R56</f>
        <v>-0.17627685963718773</v>
      </c>
      <c r="T56" s="27">
        <f>T46+T52+T55</f>
        <v>146128644904.3671</v>
      </c>
      <c r="U56" s="21">
        <f>(T56-R56)/T56</f>
        <v>0.23426113289950898</v>
      </c>
      <c r="V56" s="27">
        <f t="shared" si="41"/>
        <v>242059324799.58545</v>
      </c>
      <c r="W56" s="21">
        <f t="shared" ref="W56" si="44">(V56-T56)/V56</f>
        <v>0.39631061507192406</v>
      </c>
      <c r="X56" s="27">
        <f>X46+X52+X55</f>
        <v>156273999289.573</v>
      </c>
      <c r="Y56" s="21">
        <f t="shared" ref="Y56" si="45">(X56-V56)/X56</f>
        <v>-0.5489417683043597</v>
      </c>
    </row>
    <row r="57" spans="12:25" x14ac:dyDescent="0.25">
      <c r="L57" s="3"/>
      <c r="M57" s="3"/>
      <c r="N57" s="28"/>
      <c r="O57" s="28"/>
      <c r="P57" s="28"/>
      <c r="Q57" s="3"/>
      <c r="R57" s="28"/>
      <c r="S57" s="3"/>
      <c r="T57" s="28"/>
      <c r="U57" s="3"/>
      <c r="V57" s="28"/>
      <c r="W57" s="3"/>
      <c r="X57" s="28"/>
      <c r="Y57" s="3"/>
    </row>
    <row r="58" spans="12:25" x14ac:dyDescent="0.25">
      <c r="L58" s="3"/>
      <c r="M58" s="3"/>
      <c r="N58" s="28"/>
      <c r="O58" s="28"/>
      <c r="P58" s="28"/>
      <c r="Q58" s="3"/>
      <c r="R58" s="28"/>
      <c r="S58" s="3"/>
      <c r="T58" s="28"/>
      <c r="U58" s="3"/>
      <c r="V58" s="28"/>
      <c r="W58" s="3"/>
      <c r="X58" s="28"/>
      <c r="Y58" s="3"/>
    </row>
    <row r="59" spans="12:25" x14ac:dyDescent="0.25">
      <c r="L59" s="3"/>
      <c r="M59" s="3"/>
      <c r="N59" s="28"/>
      <c r="O59" s="28"/>
      <c r="P59" s="28"/>
      <c r="Q59" s="3"/>
      <c r="R59" s="28"/>
      <c r="S59" s="3"/>
      <c r="T59" s="28"/>
      <c r="U59" s="3"/>
      <c r="V59" s="28"/>
      <c r="W59" s="3"/>
      <c r="X59" s="28"/>
      <c r="Y59" s="3"/>
    </row>
    <row r="60" spans="12:25" x14ac:dyDescent="0.25">
      <c r="L60" s="3"/>
      <c r="M60" s="3"/>
      <c r="N60" s="28"/>
      <c r="O60" s="28"/>
      <c r="P60" s="28"/>
      <c r="Q60" s="3"/>
      <c r="R60" s="28"/>
      <c r="S60" s="3"/>
      <c r="T60" s="28"/>
      <c r="U60" s="3"/>
      <c r="V60" s="28"/>
      <c r="W60" s="3"/>
      <c r="X60" s="28"/>
      <c r="Y60" s="3"/>
    </row>
    <row r="61" spans="12:25" x14ac:dyDescent="0.25">
      <c r="L61" s="3"/>
      <c r="M61" s="3"/>
      <c r="N61" s="28"/>
      <c r="O61" s="28"/>
      <c r="P61" s="28"/>
      <c r="Q61" s="3"/>
      <c r="R61" s="28"/>
      <c r="S61" s="3"/>
      <c r="T61" s="28"/>
      <c r="U61" s="3"/>
      <c r="V61" s="28"/>
      <c r="W61" s="3"/>
      <c r="X61" s="28"/>
      <c r="Y61" s="3"/>
    </row>
    <row r="62" spans="12:25" x14ac:dyDescent="0.25">
      <c r="L62" s="3"/>
      <c r="M62" s="3"/>
      <c r="N62" s="28"/>
      <c r="O62" s="28"/>
      <c r="P62" s="28"/>
      <c r="Q62" s="3"/>
      <c r="R62" s="28"/>
      <c r="S62" s="3"/>
      <c r="T62" s="28"/>
      <c r="U62" s="3"/>
      <c r="V62" s="28"/>
      <c r="W62" s="3"/>
      <c r="X62" s="28"/>
      <c r="Y62" s="3"/>
    </row>
    <row r="63" spans="12:25" x14ac:dyDescent="0.25">
      <c r="L63" s="3"/>
      <c r="M63" s="3"/>
      <c r="N63" s="28"/>
      <c r="O63" s="28"/>
      <c r="P63" s="28"/>
      <c r="Q63" s="3"/>
      <c r="R63" s="28"/>
      <c r="S63" s="3"/>
      <c r="T63" s="28"/>
      <c r="U63" s="3"/>
      <c r="V63" s="28"/>
      <c r="W63" s="3"/>
      <c r="X63" s="28"/>
      <c r="Y63" s="3"/>
    </row>
    <row r="64" spans="12:25" x14ac:dyDescent="0.25">
      <c r="L64" s="3"/>
      <c r="M64" s="3"/>
      <c r="N64" s="28"/>
      <c r="O64" s="28"/>
      <c r="P64" s="28"/>
      <c r="Q64" s="3"/>
      <c r="R64" s="28"/>
      <c r="S64" s="3"/>
      <c r="T64" s="28"/>
      <c r="U64" s="3"/>
      <c r="V64" s="28"/>
      <c r="W64" s="3"/>
      <c r="X64" s="28"/>
      <c r="Y64" s="3"/>
    </row>
    <row r="65" spans="12:25" x14ac:dyDescent="0.25">
      <c r="L65" s="3"/>
      <c r="M65" s="3"/>
      <c r="N65" s="28"/>
      <c r="O65" s="28"/>
      <c r="P65" s="28"/>
      <c r="Q65" s="3"/>
      <c r="R65" s="28"/>
      <c r="S65" s="3"/>
      <c r="T65" s="28"/>
      <c r="U65" s="3"/>
      <c r="V65" s="28"/>
      <c r="W65" s="3"/>
      <c r="X65" s="28"/>
      <c r="Y65" s="3"/>
    </row>
  </sheetData>
  <mergeCells count="14">
    <mergeCell ref="M30:Y31"/>
    <mergeCell ref="M32:M33"/>
    <mergeCell ref="N32:Y32"/>
    <mergeCell ref="N33:O33"/>
    <mergeCell ref="A1:V2"/>
    <mergeCell ref="A3:K4"/>
    <mergeCell ref="M3:Y4"/>
    <mergeCell ref="A5:A7"/>
    <mergeCell ref="B5:K5"/>
    <mergeCell ref="M5:M6"/>
    <mergeCell ref="N5:Y5"/>
    <mergeCell ref="H6:I6"/>
    <mergeCell ref="J6:K6"/>
    <mergeCell ref="N6:O6"/>
  </mergeCells>
  <pageMargins left="0.7" right="0.7" top="0.75" bottom="0.75" header="0.3" footer="0.3"/>
  <pageSetup orientation="portrait" r:id="rId1"/>
  <ignoredErrors>
    <ignoredError sqref="U4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5"/>
  <sheetViews>
    <sheetView zoomScale="80" zoomScaleNormal="80" workbookViewId="0">
      <selection activeCell="F19" sqref="F19"/>
    </sheetView>
  </sheetViews>
  <sheetFormatPr defaultRowHeight="15" x14ac:dyDescent="0.25"/>
  <cols>
    <col min="1" max="1" width="24.5703125" bestFit="1" customWidth="1"/>
    <col min="2" max="3" width="17.140625" bestFit="1" customWidth="1"/>
    <col min="4" max="4" width="18.140625" bestFit="1" customWidth="1"/>
    <col min="5" max="5" width="19.85546875" bestFit="1" customWidth="1"/>
    <col min="6" max="6" width="18.85546875" bestFit="1" customWidth="1"/>
    <col min="7" max="9" width="18.140625" bestFit="1" customWidth="1"/>
    <col min="10" max="10" width="18.85546875" bestFit="1" customWidth="1"/>
    <col min="11" max="11" width="17.140625" bestFit="1" customWidth="1"/>
    <col min="13" max="13" width="24.5703125" bestFit="1" customWidth="1"/>
    <col min="14" max="14" width="22.140625" style="1" customWidth="1"/>
    <col min="15" max="15" width="20.5703125" style="1" bestFit="1" customWidth="1"/>
    <col min="16" max="16" width="21.140625" style="1" bestFit="1" customWidth="1"/>
    <col min="17" max="17" width="13.42578125" customWidth="1"/>
    <col min="18" max="18" width="21.140625" style="1" bestFit="1" customWidth="1"/>
    <col min="19" max="19" width="10.140625" bestFit="1" customWidth="1"/>
    <col min="20" max="20" width="21.140625" style="1" bestFit="1" customWidth="1"/>
    <col min="21" max="21" width="9.140625" bestFit="1" customWidth="1"/>
    <col min="22" max="22" width="21.140625" style="1" bestFit="1" customWidth="1"/>
    <col min="23" max="23" width="10.140625" bestFit="1" customWidth="1"/>
    <col min="24" max="24" width="21.140625" style="1" bestFit="1" customWidth="1"/>
    <col min="25" max="25" width="8.5703125" bestFit="1" customWidth="1"/>
  </cols>
  <sheetData>
    <row r="1" spans="1:25" x14ac:dyDescent="0.25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</row>
    <row r="2" spans="1:25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</row>
    <row r="3" spans="1:25" x14ac:dyDescent="0.25">
      <c r="A3" s="71" t="s">
        <v>1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3"/>
      <c r="M3" s="63" t="s">
        <v>2</v>
      </c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spans="1:25" x14ac:dyDescent="0.25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3"/>
      <c r="M4" s="63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</row>
    <row r="5" spans="1:25" x14ac:dyDescent="0.25">
      <c r="A5" s="72" t="s">
        <v>3</v>
      </c>
      <c r="B5" s="75" t="s">
        <v>4</v>
      </c>
      <c r="C5" s="76"/>
      <c r="D5" s="76"/>
      <c r="E5" s="76"/>
      <c r="F5" s="76"/>
      <c r="G5" s="76"/>
      <c r="H5" s="76"/>
      <c r="I5" s="76"/>
      <c r="J5" s="76"/>
      <c r="K5" s="77"/>
      <c r="L5" s="3"/>
      <c r="M5" s="67" t="s">
        <v>3</v>
      </c>
      <c r="N5" s="67" t="s">
        <v>4</v>
      </c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25" ht="45" x14ac:dyDescent="0.25">
      <c r="A6" s="73"/>
      <c r="B6" s="78">
        <v>2019</v>
      </c>
      <c r="C6" s="79"/>
      <c r="D6" s="78">
        <v>2020</v>
      </c>
      <c r="E6" s="79"/>
      <c r="F6" s="78">
        <v>2021</v>
      </c>
      <c r="G6" s="79"/>
      <c r="H6" s="78">
        <v>2022</v>
      </c>
      <c r="I6" s="79"/>
      <c r="J6" s="78">
        <v>2023</v>
      </c>
      <c r="K6" s="79"/>
      <c r="L6" s="3"/>
      <c r="M6" s="67"/>
      <c r="N6" s="67" t="s">
        <v>42</v>
      </c>
      <c r="O6" s="67"/>
      <c r="P6" s="5">
        <v>2024</v>
      </c>
      <c r="Q6" s="6" t="s">
        <v>5</v>
      </c>
      <c r="R6" s="5">
        <v>2025</v>
      </c>
      <c r="S6" s="4" t="s">
        <v>6</v>
      </c>
      <c r="T6" s="5">
        <v>2026</v>
      </c>
      <c r="U6" s="4" t="s">
        <v>6</v>
      </c>
      <c r="V6" s="5">
        <v>2027</v>
      </c>
      <c r="W6" s="7" t="s">
        <v>6</v>
      </c>
      <c r="X6" s="5">
        <v>2028</v>
      </c>
      <c r="Y6" s="7" t="s">
        <v>6</v>
      </c>
    </row>
    <row r="7" spans="1:25" x14ac:dyDescent="0.25">
      <c r="A7" s="74"/>
      <c r="B7" s="2" t="s">
        <v>7</v>
      </c>
      <c r="C7" s="2" t="s">
        <v>8</v>
      </c>
      <c r="D7" s="2" t="s">
        <v>7</v>
      </c>
      <c r="E7" s="2" t="s">
        <v>8</v>
      </c>
      <c r="F7" s="2" t="s">
        <v>7</v>
      </c>
      <c r="G7" s="2" t="s">
        <v>8</v>
      </c>
      <c r="H7" s="2" t="s">
        <v>7</v>
      </c>
      <c r="I7" s="2" t="s">
        <v>8</v>
      </c>
      <c r="J7" s="2" t="s">
        <v>7</v>
      </c>
      <c r="K7" s="2" t="s">
        <v>8</v>
      </c>
      <c r="L7" s="3"/>
      <c r="M7" s="4"/>
      <c r="N7" s="8" t="s">
        <v>9</v>
      </c>
      <c r="O7" s="8" t="s">
        <v>8</v>
      </c>
      <c r="P7" s="8" t="s">
        <v>10</v>
      </c>
      <c r="Q7" s="6"/>
      <c r="R7" s="8" t="s">
        <v>10</v>
      </c>
      <c r="S7" s="4"/>
      <c r="T7" s="8" t="s">
        <v>10</v>
      </c>
      <c r="U7" s="4"/>
      <c r="V7" s="8" t="s">
        <v>10</v>
      </c>
      <c r="W7" s="9"/>
      <c r="X7" s="8" t="s">
        <v>10</v>
      </c>
      <c r="Y7" s="9"/>
    </row>
    <row r="8" spans="1:25" x14ac:dyDescent="0.25">
      <c r="A8" s="48" t="s">
        <v>11</v>
      </c>
      <c r="B8" s="49"/>
      <c r="C8" s="49"/>
      <c r="D8" s="49"/>
      <c r="E8" s="49"/>
      <c r="F8" s="49"/>
      <c r="G8" s="49"/>
      <c r="H8" s="49"/>
      <c r="I8" s="49"/>
      <c r="J8" s="49"/>
      <c r="K8" s="50"/>
      <c r="L8" s="3"/>
      <c r="M8" s="51" t="s">
        <v>11</v>
      </c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3"/>
    </row>
    <row r="9" spans="1:25" x14ac:dyDescent="0.25">
      <c r="A9" s="10" t="s">
        <v>12</v>
      </c>
      <c r="B9" s="11">
        <v>24687887500</v>
      </c>
      <c r="C9" s="11">
        <v>23841997500</v>
      </c>
      <c r="D9" s="12">
        <v>29016054000</v>
      </c>
      <c r="E9" s="11">
        <v>28277122500</v>
      </c>
      <c r="F9" s="12">
        <v>34233136000</v>
      </c>
      <c r="G9" s="11">
        <v>31513387350</v>
      </c>
      <c r="H9" s="11">
        <v>40668775000</v>
      </c>
      <c r="I9" s="11">
        <v>34827238500</v>
      </c>
      <c r="J9" s="12">
        <v>45468750000</v>
      </c>
      <c r="K9" s="11">
        <v>36651571861</v>
      </c>
      <c r="L9" s="3"/>
      <c r="M9" s="9" t="s">
        <v>12</v>
      </c>
      <c r="N9" s="13">
        <v>45468750000</v>
      </c>
      <c r="O9" s="13">
        <v>36651571861</v>
      </c>
      <c r="P9" s="13">
        <v>47394224000</v>
      </c>
      <c r="Q9" s="14">
        <v>4.0626764983007213E-2</v>
      </c>
      <c r="R9" s="13">
        <v>49432420000</v>
      </c>
      <c r="S9" s="14">
        <v>4.1231968817225621E-2</v>
      </c>
      <c r="T9" s="13">
        <v>51469300000</v>
      </c>
      <c r="U9" s="14">
        <v>3.9574659068609831E-2</v>
      </c>
      <c r="V9" s="13">
        <v>53441440000</v>
      </c>
      <c r="W9" s="14">
        <v>3.6902822977823949E-2</v>
      </c>
      <c r="X9" s="13">
        <v>55260450000</v>
      </c>
      <c r="Y9" s="14">
        <v>3.2917031982186172E-2</v>
      </c>
    </row>
    <row r="10" spans="1:25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3"/>
      <c r="M10" s="9" t="s">
        <v>15</v>
      </c>
      <c r="N10" s="13"/>
      <c r="O10" s="13"/>
      <c r="P10" s="13"/>
      <c r="Q10" s="15"/>
      <c r="R10" s="13"/>
      <c r="S10" s="14"/>
      <c r="T10" s="13"/>
      <c r="U10" s="14"/>
      <c r="V10" s="13"/>
      <c r="W10" s="14"/>
      <c r="X10" s="13"/>
      <c r="Y10" s="14"/>
    </row>
    <row r="11" spans="1:25" x14ac:dyDescent="0.25">
      <c r="A11" s="16" t="s">
        <v>16</v>
      </c>
      <c r="B11" s="17">
        <v>24687887500</v>
      </c>
      <c r="C11" s="17">
        <v>23841997500</v>
      </c>
      <c r="D11" s="17">
        <v>29016054000</v>
      </c>
      <c r="E11" s="17">
        <v>28277122500</v>
      </c>
      <c r="F11" s="17">
        <v>34233136000</v>
      </c>
      <c r="G11" s="17">
        <v>31513387350</v>
      </c>
      <c r="H11" s="17">
        <v>40668775000</v>
      </c>
      <c r="I11" s="17">
        <v>34827238500</v>
      </c>
      <c r="J11" s="17">
        <v>45468750000</v>
      </c>
      <c r="K11" s="17">
        <v>36651571861</v>
      </c>
      <c r="L11" s="3"/>
      <c r="M11" s="18" t="s">
        <v>16</v>
      </c>
      <c r="N11" s="19">
        <v>45468750000</v>
      </c>
      <c r="O11" s="19">
        <v>36651571861</v>
      </c>
      <c r="P11" s="20">
        <v>47394224000</v>
      </c>
      <c r="Q11" s="14">
        <v>4.0626764983007213E-2</v>
      </c>
      <c r="R11" s="20">
        <v>49432420000</v>
      </c>
      <c r="S11" s="21">
        <v>4.1231968817225621E-2</v>
      </c>
      <c r="T11" s="20">
        <v>51469300000</v>
      </c>
      <c r="U11" s="21">
        <v>3.9574659068609831E-2</v>
      </c>
      <c r="V11" s="20">
        <v>53441440000</v>
      </c>
      <c r="W11" s="21">
        <v>3.6902822977823949E-2</v>
      </c>
      <c r="X11" s="20">
        <v>55260450000</v>
      </c>
      <c r="Y11" s="21">
        <v>3.2917031982186172E-2</v>
      </c>
    </row>
    <row r="12" spans="1:25" x14ac:dyDescent="0.25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7"/>
      <c r="L12" s="3"/>
      <c r="M12" s="54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6"/>
    </row>
    <row r="13" spans="1:25" x14ac:dyDescent="0.25">
      <c r="A13" s="48" t="s">
        <v>17</v>
      </c>
      <c r="B13" s="49"/>
      <c r="C13" s="49"/>
      <c r="D13" s="49"/>
      <c r="E13" s="49"/>
      <c r="F13" s="49"/>
      <c r="G13" s="49"/>
      <c r="H13" s="49"/>
      <c r="I13" s="49"/>
      <c r="J13" s="49"/>
      <c r="K13" s="50"/>
      <c r="L13" s="3"/>
      <c r="M13" s="25" t="s">
        <v>17</v>
      </c>
      <c r="N13" s="25"/>
      <c r="O13" s="25"/>
      <c r="P13" s="25"/>
      <c r="Q13" s="25"/>
      <c r="R13" s="25"/>
      <c r="S13" s="25"/>
      <c r="T13" s="25"/>
      <c r="U13" s="25"/>
      <c r="V13" s="13"/>
      <c r="W13" s="9"/>
      <c r="X13" s="13"/>
      <c r="Y13" s="9"/>
    </row>
    <row r="14" spans="1:25" x14ac:dyDescent="0.25">
      <c r="A14" s="10" t="s">
        <v>12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3"/>
      <c r="M14" s="9" t="s">
        <v>12</v>
      </c>
      <c r="N14" s="13"/>
      <c r="O14" s="13"/>
      <c r="P14" s="13"/>
      <c r="Q14" s="22"/>
      <c r="R14" s="13"/>
      <c r="S14" s="14"/>
      <c r="T14" s="13"/>
      <c r="U14" s="14"/>
      <c r="V14" s="13"/>
      <c r="W14" s="14"/>
      <c r="X14" s="13"/>
      <c r="Y14" s="14"/>
    </row>
    <row r="15" spans="1:25" x14ac:dyDescent="0.25">
      <c r="A15" s="10" t="s">
        <v>18</v>
      </c>
      <c r="B15" s="11"/>
      <c r="C15" s="11"/>
      <c r="D15" s="11">
        <v>270000000</v>
      </c>
      <c r="E15" s="11">
        <v>235300000</v>
      </c>
      <c r="F15" s="11"/>
      <c r="G15" s="11"/>
      <c r="H15" s="11"/>
      <c r="I15" s="11"/>
      <c r="J15" s="11"/>
      <c r="K15" s="11"/>
      <c r="L15" s="3"/>
      <c r="M15" s="9" t="s">
        <v>18</v>
      </c>
      <c r="N15" s="13"/>
      <c r="O15" s="13"/>
      <c r="P15" s="13"/>
      <c r="Q15" s="22"/>
      <c r="R15" s="13"/>
      <c r="S15" s="14"/>
      <c r="T15" s="13"/>
      <c r="U15" s="14"/>
      <c r="V15" s="13"/>
      <c r="W15" s="14"/>
      <c r="X15" s="13"/>
      <c r="Y15" s="14"/>
    </row>
    <row r="16" spans="1:25" x14ac:dyDescent="0.25">
      <c r="A16" s="10" t="s">
        <v>19</v>
      </c>
      <c r="B16" s="11">
        <v>20925901000</v>
      </c>
      <c r="C16" s="11">
        <v>19109917787</v>
      </c>
      <c r="D16" s="43">
        <v>21507888000</v>
      </c>
      <c r="E16" s="43">
        <v>20646170825</v>
      </c>
      <c r="F16" s="11">
        <v>25627222000</v>
      </c>
      <c r="G16" s="11">
        <v>21052909642</v>
      </c>
      <c r="H16" s="11">
        <v>29762302000</v>
      </c>
      <c r="I16" s="11">
        <v>23995406017</v>
      </c>
      <c r="J16" s="11">
        <v>34690406000</v>
      </c>
      <c r="K16" s="11">
        <v>29421571861</v>
      </c>
      <c r="L16" s="3"/>
      <c r="M16" s="9" t="s">
        <v>19</v>
      </c>
      <c r="N16" s="13">
        <v>34690406000</v>
      </c>
      <c r="O16" s="13">
        <v>29421571861</v>
      </c>
      <c r="P16" s="13">
        <v>39882563000</v>
      </c>
      <c r="Q16" s="14">
        <v>0.13018614174821211</v>
      </c>
      <c r="R16" s="13">
        <v>40913168000</v>
      </c>
      <c r="S16" s="14">
        <v>2.5190056169690892E-2</v>
      </c>
      <c r="T16" s="13">
        <v>45822748000</v>
      </c>
      <c r="U16" s="14">
        <v>0.107142854025254</v>
      </c>
      <c r="V16" s="13">
        <v>48572112000</v>
      </c>
      <c r="W16" s="14">
        <v>5.6603756493026285E-2</v>
      </c>
      <c r="X16" s="13">
        <v>48572112000</v>
      </c>
      <c r="Y16" s="14">
        <v>0</v>
      </c>
    </row>
    <row r="17" spans="1:25" x14ac:dyDescent="0.25">
      <c r="A17" s="10" t="s">
        <v>20</v>
      </c>
      <c r="B17" s="11">
        <v>3515108000</v>
      </c>
      <c r="C17" s="11">
        <v>3444805840</v>
      </c>
      <c r="D17" s="43">
        <v>7238166000</v>
      </c>
      <c r="E17" s="44">
        <v>7147983966</v>
      </c>
      <c r="F17" s="11">
        <v>8605914000</v>
      </c>
      <c r="G17" s="11">
        <v>8353631020</v>
      </c>
      <c r="H17" s="11">
        <v>10499785000</v>
      </c>
      <c r="I17" s="11">
        <v>6029093409</v>
      </c>
      <c r="J17" s="11">
        <v>10323656000</v>
      </c>
      <c r="K17" s="11">
        <v>7230000000</v>
      </c>
      <c r="L17" s="3"/>
      <c r="M17" s="9" t="s">
        <v>20</v>
      </c>
      <c r="N17" s="13">
        <v>10323656000</v>
      </c>
      <c r="O17" s="13">
        <v>7230000000</v>
      </c>
      <c r="P17" s="13">
        <v>7511661000</v>
      </c>
      <c r="Q17" s="14">
        <v>-0.37435062631287541</v>
      </c>
      <c r="R17" s="13">
        <v>8519252000</v>
      </c>
      <c r="S17" s="14">
        <v>0.11827223798521279</v>
      </c>
      <c r="T17" s="13">
        <v>5646552000</v>
      </c>
      <c r="U17" s="14">
        <v>-0.50875295224413053</v>
      </c>
      <c r="V17" s="13">
        <v>4869328000</v>
      </c>
      <c r="W17" s="14">
        <v>-0.15961627559285388</v>
      </c>
      <c r="X17" s="13">
        <v>6688338000</v>
      </c>
      <c r="Y17" s="14">
        <v>0.27196741552236148</v>
      </c>
    </row>
    <row r="18" spans="1:25" x14ac:dyDescent="0.25">
      <c r="A18" s="23" t="s">
        <v>21</v>
      </c>
      <c r="B18" s="24">
        <v>24441009000</v>
      </c>
      <c r="C18" s="24">
        <v>22554723627</v>
      </c>
      <c r="D18" s="24">
        <v>29016054000</v>
      </c>
      <c r="E18" s="24">
        <v>28029454791</v>
      </c>
      <c r="F18" s="24">
        <v>34233136000</v>
      </c>
      <c r="G18" s="24">
        <v>29406540662</v>
      </c>
      <c r="H18" s="24">
        <v>40262087000</v>
      </c>
      <c r="I18" s="24">
        <v>30024499426</v>
      </c>
      <c r="J18" s="24">
        <v>45014062000</v>
      </c>
      <c r="K18" s="24">
        <v>36651571861</v>
      </c>
      <c r="L18" s="3"/>
      <c r="M18" s="25" t="s">
        <v>21</v>
      </c>
      <c r="N18" s="20">
        <v>45014062000</v>
      </c>
      <c r="O18" s="20">
        <v>36651571861</v>
      </c>
      <c r="P18" s="20">
        <v>47394224000</v>
      </c>
      <c r="Q18" s="14">
        <v>5.0220507882985911E-2</v>
      </c>
      <c r="R18" s="20">
        <v>49432420000</v>
      </c>
      <c r="S18" s="14">
        <v>4.1231968817225621E-2</v>
      </c>
      <c r="T18" s="20">
        <v>51469300000</v>
      </c>
      <c r="U18" s="14">
        <v>3.9574659068609831E-2</v>
      </c>
      <c r="V18" s="20">
        <v>53441440000</v>
      </c>
      <c r="W18" s="14">
        <v>3.6902822977823949E-2</v>
      </c>
      <c r="X18" s="20">
        <v>55260450000</v>
      </c>
      <c r="Y18" s="14">
        <v>3.2917031982186172E-2</v>
      </c>
    </row>
    <row r="19" spans="1:25" x14ac:dyDescent="0.25">
      <c r="A19" s="10" t="s">
        <v>13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3"/>
      <c r="M19" s="9" t="s">
        <v>13</v>
      </c>
      <c r="N19" s="13"/>
      <c r="O19" s="13"/>
      <c r="P19" s="13"/>
      <c r="Q19" s="14"/>
      <c r="R19" s="13"/>
      <c r="S19" s="14"/>
      <c r="T19" s="13"/>
      <c r="U19" s="14"/>
      <c r="V19" s="13"/>
      <c r="W19" s="14"/>
      <c r="X19" s="13"/>
      <c r="Y19" s="14"/>
    </row>
    <row r="20" spans="1:25" x14ac:dyDescent="0.25">
      <c r="A20" s="10" t="s">
        <v>18</v>
      </c>
      <c r="B20" s="11">
        <v>27372774000</v>
      </c>
      <c r="C20" s="11">
        <v>27157217964</v>
      </c>
      <c r="D20" s="11">
        <v>27738604000</v>
      </c>
      <c r="E20" s="11">
        <v>27711706368</v>
      </c>
      <c r="F20" s="11">
        <v>33573222000</v>
      </c>
      <c r="G20" s="11">
        <v>39787129541</v>
      </c>
      <c r="H20" s="11">
        <v>33594293000</v>
      </c>
      <c r="I20" s="11">
        <v>33573605848</v>
      </c>
      <c r="J20" s="11">
        <v>37366450000</v>
      </c>
      <c r="K20" s="11">
        <v>36700500000</v>
      </c>
      <c r="L20" s="3"/>
      <c r="M20" s="9" t="s">
        <v>18</v>
      </c>
      <c r="N20" s="13">
        <v>37366450000</v>
      </c>
      <c r="O20" s="13">
        <v>36700500000</v>
      </c>
      <c r="P20" s="13">
        <v>42126852000</v>
      </c>
      <c r="Q20" s="14">
        <v>0.11300160762071659</v>
      </c>
      <c r="R20" s="13">
        <v>47182070000</v>
      </c>
      <c r="S20" s="14">
        <v>0.10714277690656641</v>
      </c>
      <c r="T20" s="13">
        <v>50956640000</v>
      </c>
      <c r="U20" s="14">
        <v>7.4074154025854141E-2</v>
      </c>
      <c r="V20" s="13">
        <v>55033171000</v>
      </c>
      <c r="W20" s="14">
        <v>7.4074070709100159E-2</v>
      </c>
      <c r="X20" s="13">
        <v>58335161000</v>
      </c>
      <c r="Y20" s="14">
        <v>5.6603769380185645E-2</v>
      </c>
    </row>
    <row r="21" spans="1:25" x14ac:dyDescent="0.25">
      <c r="A21" s="10" t="s">
        <v>19</v>
      </c>
      <c r="B21" s="11">
        <v>8051324000</v>
      </c>
      <c r="C21" s="11">
        <v>7707673140</v>
      </c>
      <c r="D21" s="11">
        <v>7196576000</v>
      </c>
      <c r="E21" s="11">
        <v>7129578878</v>
      </c>
      <c r="F21" s="11">
        <v>9441058000</v>
      </c>
      <c r="G21" s="11">
        <v>9434291356</v>
      </c>
      <c r="H21" s="11">
        <v>12890983000</v>
      </c>
      <c r="I21" s="11">
        <v>11754996648</v>
      </c>
      <c r="J21" s="11">
        <v>11711377000</v>
      </c>
      <c r="K21" s="11">
        <v>11658000000</v>
      </c>
      <c r="L21" s="3"/>
      <c r="M21" s="9" t="s">
        <v>19</v>
      </c>
      <c r="N21" s="13">
        <v>11711377000</v>
      </c>
      <c r="O21" s="13">
        <v>11658000000</v>
      </c>
      <c r="P21" s="13">
        <v>11364346000</v>
      </c>
      <c r="Q21" s="14">
        <v>-3.0536821036599906E-2</v>
      </c>
      <c r="R21" s="13">
        <v>11932563000</v>
      </c>
      <c r="S21" s="14">
        <v>4.7619023674964046E-2</v>
      </c>
      <c r="T21" s="13">
        <v>12648517000</v>
      </c>
      <c r="U21" s="14">
        <v>5.6603789993720212E-2</v>
      </c>
      <c r="V21" s="13">
        <v>13407428000</v>
      </c>
      <c r="W21" s="14">
        <v>5.6603772177631684E-2</v>
      </c>
      <c r="X21" s="13">
        <v>13957132000</v>
      </c>
      <c r="Y21" s="14">
        <v>3.9385168815484442E-2</v>
      </c>
    </row>
    <row r="22" spans="1:25" x14ac:dyDescent="0.25">
      <c r="A22" s="10" t="s">
        <v>20</v>
      </c>
      <c r="B22" s="11">
        <v>433000000</v>
      </c>
      <c r="C22" s="11">
        <v>432198040</v>
      </c>
      <c r="D22" s="11">
        <v>27000000</v>
      </c>
      <c r="E22" s="11">
        <v>27000000</v>
      </c>
      <c r="F22" s="11">
        <v>313875000</v>
      </c>
      <c r="G22" s="11">
        <v>313873000</v>
      </c>
      <c r="H22" s="11">
        <v>332150000</v>
      </c>
      <c r="I22" s="26">
        <v>318845700</v>
      </c>
      <c r="J22" s="11">
        <v>214900000</v>
      </c>
      <c r="K22" s="11">
        <v>214900000</v>
      </c>
      <c r="L22" s="3"/>
      <c r="M22" s="9" t="s">
        <v>20</v>
      </c>
      <c r="N22" s="13">
        <v>214900000</v>
      </c>
      <c r="O22" s="13">
        <v>214900000</v>
      </c>
      <c r="P22" s="13">
        <v>250000000</v>
      </c>
      <c r="Q22" s="14">
        <v>0.1404</v>
      </c>
      <c r="R22" s="13">
        <v>300000000</v>
      </c>
      <c r="S22" s="14">
        <v>0.16666666666666666</v>
      </c>
      <c r="T22" s="13">
        <v>200000000</v>
      </c>
      <c r="U22" s="14">
        <v>-0.5</v>
      </c>
      <c r="V22" s="13">
        <v>200000000</v>
      </c>
      <c r="W22" s="14">
        <v>0</v>
      </c>
      <c r="X22" s="13">
        <v>300000000</v>
      </c>
      <c r="Y22" s="14">
        <v>0.33333333333333331</v>
      </c>
    </row>
    <row r="23" spans="1:25" x14ac:dyDescent="0.25">
      <c r="A23" s="10" t="s">
        <v>22</v>
      </c>
      <c r="B23" s="11">
        <v>5552400000</v>
      </c>
      <c r="C23" s="11">
        <v>5552400000</v>
      </c>
      <c r="D23" s="11">
        <v>6628800000</v>
      </c>
      <c r="E23" s="11">
        <v>6628800000</v>
      </c>
      <c r="F23" s="11">
        <v>7840800000</v>
      </c>
      <c r="G23" s="11">
        <v>7840800000</v>
      </c>
      <c r="H23" s="11">
        <v>8665800000</v>
      </c>
      <c r="I23" s="11">
        <v>8665800000</v>
      </c>
      <c r="J23" s="11">
        <v>10718400000</v>
      </c>
      <c r="K23" s="11">
        <v>10718400000</v>
      </c>
      <c r="L23" s="3"/>
      <c r="M23" s="9" t="s">
        <v>22</v>
      </c>
      <c r="N23" s="13">
        <v>10718400000</v>
      </c>
      <c r="O23" s="13">
        <v>10718400000</v>
      </c>
      <c r="P23" s="13">
        <v>12804000000</v>
      </c>
      <c r="Q23" s="14">
        <v>0.16288659793814433</v>
      </c>
      <c r="R23" s="13">
        <v>13101000000</v>
      </c>
      <c r="S23" s="14">
        <v>2.2670025188916875E-2</v>
      </c>
      <c r="T23" s="13">
        <v>11880000000</v>
      </c>
      <c r="U23" s="14">
        <v>-0.10277777777777777</v>
      </c>
      <c r="V23" s="13">
        <v>9240000000</v>
      </c>
      <c r="W23" s="14">
        <v>-0.2857142857142857</v>
      </c>
      <c r="X23" s="13">
        <v>10560000000</v>
      </c>
      <c r="Y23" s="14">
        <v>0.125</v>
      </c>
    </row>
    <row r="24" spans="1:25" x14ac:dyDescent="0.25">
      <c r="A24" s="23" t="s">
        <v>23</v>
      </c>
      <c r="B24" s="24">
        <v>41409498000</v>
      </c>
      <c r="C24" s="24">
        <v>40849489144</v>
      </c>
      <c r="D24" s="24">
        <v>41590980000</v>
      </c>
      <c r="E24" s="24">
        <v>41497085246</v>
      </c>
      <c r="F24" s="24">
        <v>51168955000</v>
      </c>
      <c r="G24" s="24">
        <v>57376093897</v>
      </c>
      <c r="H24" s="24">
        <v>55483226000</v>
      </c>
      <c r="I24" s="24">
        <v>54313248196</v>
      </c>
      <c r="J24" s="24">
        <v>60011127000</v>
      </c>
      <c r="K24" s="24">
        <v>59291800000</v>
      </c>
      <c r="L24" s="3"/>
      <c r="M24" s="25" t="s">
        <v>23</v>
      </c>
      <c r="N24" s="20">
        <v>60011127000</v>
      </c>
      <c r="O24" s="20">
        <v>59291800000</v>
      </c>
      <c r="P24" s="20">
        <v>66545198000</v>
      </c>
      <c r="Q24" s="14">
        <v>9.8189970071168767E-2</v>
      </c>
      <c r="R24" s="20">
        <v>72515633000</v>
      </c>
      <c r="S24" s="14">
        <v>8.23330743041297E-2</v>
      </c>
      <c r="T24" s="20">
        <v>75685157000</v>
      </c>
      <c r="U24" s="14">
        <v>4.1877748895995555E-2</v>
      </c>
      <c r="V24" s="20">
        <v>77880599000</v>
      </c>
      <c r="W24" s="14">
        <v>2.8189844816165321E-2</v>
      </c>
      <c r="X24" s="20">
        <v>83152293000</v>
      </c>
      <c r="Y24" s="14">
        <v>6.3398059269393806E-2</v>
      </c>
    </row>
    <row r="25" spans="1:25" x14ac:dyDescent="0.25">
      <c r="A25" s="10" t="s">
        <v>24</v>
      </c>
      <c r="B25" s="11"/>
      <c r="C25" s="11"/>
      <c r="D25" s="11"/>
      <c r="E25" s="11"/>
      <c r="F25" s="11"/>
      <c r="G25" s="11"/>
      <c r="H25" s="11">
        <v>36250000000</v>
      </c>
      <c r="I25" s="11">
        <v>35163254374</v>
      </c>
      <c r="J25" s="11"/>
      <c r="K25" s="11"/>
      <c r="L25" s="3"/>
      <c r="M25" s="9" t="s">
        <v>25</v>
      </c>
      <c r="N25" s="13"/>
      <c r="O25" s="13"/>
      <c r="P25" s="13">
        <v>57298000000</v>
      </c>
      <c r="Q25" s="14"/>
      <c r="R25" s="13"/>
      <c r="S25" s="14"/>
      <c r="T25" s="13">
        <v>90000000000</v>
      </c>
      <c r="U25" s="22"/>
      <c r="V25" s="13"/>
      <c r="W25" s="22"/>
      <c r="X25" s="13">
        <v>145000000000</v>
      </c>
      <c r="Y25" s="22"/>
    </row>
    <row r="26" spans="1:25" x14ac:dyDescent="0.25">
      <c r="A26" s="23" t="s">
        <v>26</v>
      </c>
      <c r="B26" s="24"/>
      <c r="C26" s="24"/>
      <c r="D26" s="24"/>
      <c r="E26" s="24"/>
      <c r="F26" s="24"/>
      <c r="G26" s="24"/>
      <c r="H26" s="24">
        <v>36250000000</v>
      </c>
      <c r="I26" s="24">
        <v>35163254374</v>
      </c>
      <c r="J26" s="24"/>
      <c r="K26" s="24"/>
      <c r="L26" s="3"/>
      <c r="M26" s="25" t="s">
        <v>26</v>
      </c>
      <c r="N26" s="20">
        <v>0</v>
      </c>
      <c r="O26" s="20"/>
      <c r="P26" s="38">
        <v>57298000000</v>
      </c>
      <c r="Q26" s="38">
        <v>0</v>
      </c>
      <c r="R26" s="20">
        <v>0</v>
      </c>
      <c r="S26" s="38">
        <v>0</v>
      </c>
      <c r="T26" s="38">
        <v>90000000000</v>
      </c>
      <c r="U26" s="38">
        <v>0</v>
      </c>
      <c r="V26" s="38">
        <v>0</v>
      </c>
      <c r="W26" s="38">
        <v>0</v>
      </c>
      <c r="X26" s="38">
        <v>145000000000</v>
      </c>
      <c r="Y26" s="38">
        <v>0</v>
      </c>
    </row>
    <row r="27" spans="1:25" x14ac:dyDescent="0.25">
      <c r="A27" s="16" t="s">
        <v>27</v>
      </c>
      <c r="B27" s="17">
        <v>65850507000</v>
      </c>
      <c r="C27" s="17">
        <v>63404212771</v>
      </c>
      <c r="D27" s="17">
        <v>70607034000</v>
      </c>
      <c r="E27" s="17">
        <v>69526540037</v>
      </c>
      <c r="F27" s="17">
        <v>85402091000</v>
      </c>
      <c r="G27" s="17">
        <v>86782634559</v>
      </c>
      <c r="H27" s="17">
        <v>131995313000</v>
      </c>
      <c r="I27" s="17">
        <v>119501001996</v>
      </c>
      <c r="J27" s="17">
        <v>105025189000</v>
      </c>
      <c r="K27" s="17">
        <v>95943371861</v>
      </c>
      <c r="L27" s="3"/>
      <c r="M27" s="18" t="s">
        <v>27</v>
      </c>
      <c r="N27" s="27">
        <v>105025189000</v>
      </c>
      <c r="O27" s="27">
        <v>95943371861</v>
      </c>
      <c r="P27" s="27">
        <v>171237422000</v>
      </c>
      <c r="Q27" s="14">
        <v>0.38666917678777013</v>
      </c>
      <c r="R27" s="27">
        <v>121948053000</v>
      </c>
      <c r="S27" s="21">
        <v>-0.40418332058159223</v>
      </c>
      <c r="T27" s="27">
        <v>217154457000</v>
      </c>
      <c r="U27" s="21">
        <v>0.43842712378682608</v>
      </c>
      <c r="V27" s="27">
        <v>131322039000</v>
      </c>
      <c r="W27" s="21">
        <v>-0.65360253810862623</v>
      </c>
      <c r="X27" s="27">
        <v>283412743000</v>
      </c>
      <c r="Y27" s="21">
        <v>0.53664031613426777</v>
      </c>
    </row>
    <row r="28" spans="1:25" x14ac:dyDescent="0.25">
      <c r="L28" s="3"/>
      <c r="M28" s="3"/>
      <c r="N28" s="28"/>
      <c r="O28" s="28"/>
      <c r="P28" s="28"/>
      <c r="Q28" s="3"/>
      <c r="R28" s="28"/>
      <c r="S28" s="3"/>
      <c r="T28" s="28"/>
      <c r="U28" s="3"/>
      <c r="V28" s="28"/>
      <c r="W28" s="3"/>
      <c r="X28" s="28"/>
      <c r="Y28" s="3"/>
    </row>
    <row r="29" spans="1:25" x14ac:dyDescent="0.25">
      <c r="L29" s="3"/>
      <c r="M29" s="3"/>
      <c r="N29" s="28"/>
      <c r="O29" s="28"/>
      <c r="P29" s="28"/>
      <c r="Q29" s="3"/>
      <c r="R29" s="28"/>
      <c r="S29" s="3"/>
      <c r="T29" s="28"/>
      <c r="U29" s="3"/>
      <c r="V29" s="28"/>
      <c r="W29" s="3"/>
      <c r="X29" s="28"/>
      <c r="Y29" s="3"/>
    </row>
    <row r="30" spans="1:25" x14ac:dyDescent="0.25">
      <c r="L30" s="3"/>
      <c r="M30" s="63" t="s">
        <v>28</v>
      </c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</row>
    <row r="31" spans="1:25" x14ac:dyDescent="0.25">
      <c r="L31" s="3"/>
      <c r="M31" s="63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</row>
    <row r="32" spans="1:25" x14ac:dyDescent="0.25">
      <c r="A32" s="29" t="s">
        <v>29</v>
      </c>
      <c r="L32" s="3"/>
      <c r="M32" s="65" t="s">
        <v>3</v>
      </c>
      <c r="N32" s="68" t="s">
        <v>4</v>
      </c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</row>
    <row r="33" spans="1:25" ht="45" x14ac:dyDescent="0.25">
      <c r="A33" t="s">
        <v>30</v>
      </c>
      <c r="B33" s="31"/>
      <c r="C33" s="32">
        <f>C11/B11</f>
        <v>0.96573663907047536</v>
      </c>
      <c r="D33" s="33"/>
      <c r="E33" s="32">
        <f>E11/D11</f>
        <v>0.97453370124001015</v>
      </c>
      <c r="F33" s="33"/>
      <c r="G33" s="32">
        <f>G11/F11</f>
        <v>0.92055216180019261</v>
      </c>
      <c r="H33" s="33"/>
      <c r="I33" s="32">
        <f>I11/H11</f>
        <v>0.85636310658484305</v>
      </c>
      <c r="J33" s="33"/>
      <c r="K33" s="32">
        <f>K11/J11</f>
        <v>0.80608268010446738</v>
      </c>
      <c r="L33" s="3"/>
      <c r="M33" s="66"/>
      <c r="N33" s="68" t="s">
        <v>42</v>
      </c>
      <c r="O33" s="69"/>
      <c r="P33" s="35">
        <v>2024</v>
      </c>
      <c r="Q33" s="36" t="s">
        <v>5</v>
      </c>
      <c r="R33" s="35">
        <v>2025</v>
      </c>
      <c r="S33" s="34" t="s">
        <v>6</v>
      </c>
      <c r="T33" s="35">
        <v>2026</v>
      </c>
      <c r="U33" s="34" t="s">
        <v>6</v>
      </c>
      <c r="V33" s="35">
        <v>2027</v>
      </c>
      <c r="W33" s="7" t="s">
        <v>6</v>
      </c>
      <c r="X33" s="35">
        <v>2028</v>
      </c>
      <c r="Y33" s="7" t="s">
        <v>6</v>
      </c>
    </row>
    <row r="34" spans="1:25" x14ac:dyDescent="0.25">
      <c r="A34" t="s">
        <v>31</v>
      </c>
      <c r="C34" s="32">
        <f>C11/C27</f>
        <v>0.3760317565350314</v>
      </c>
      <c r="D34" s="33"/>
      <c r="E34" s="32">
        <f>E11/E27</f>
        <v>0.40670976126457231</v>
      </c>
      <c r="F34" s="33"/>
      <c r="G34" s="32">
        <f>G11/G27</f>
        <v>0.36313010673322349</v>
      </c>
      <c r="H34" s="33"/>
      <c r="I34" s="32">
        <f>I11/I27</f>
        <v>0.29143888267284784</v>
      </c>
      <c r="J34" s="33"/>
      <c r="K34" s="32">
        <f>K11/K27</f>
        <v>0.38201254708975357</v>
      </c>
      <c r="L34" s="3"/>
      <c r="M34" s="30"/>
      <c r="N34" s="8" t="s">
        <v>9</v>
      </c>
      <c r="O34" s="8" t="s">
        <v>8</v>
      </c>
      <c r="P34" s="8" t="s">
        <v>10</v>
      </c>
      <c r="Q34" s="6"/>
      <c r="R34" s="8" t="s">
        <v>10</v>
      </c>
      <c r="S34" s="4"/>
      <c r="T34" s="8" t="s">
        <v>10</v>
      </c>
      <c r="U34" s="4"/>
      <c r="V34" s="8" t="s">
        <v>10</v>
      </c>
      <c r="W34" s="9"/>
      <c r="X34" s="8" t="s">
        <v>10</v>
      </c>
      <c r="Y34" s="9"/>
    </row>
    <row r="35" spans="1:25" x14ac:dyDescent="0.25">
      <c r="A35" t="s">
        <v>32</v>
      </c>
      <c r="C35" s="32">
        <f>(C18+C26)/C27</f>
        <v>0.35572910128956203</v>
      </c>
      <c r="D35" s="33"/>
      <c r="E35" s="32">
        <f>(E18+E26)/E27</f>
        <v>0.40314755740877573</v>
      </c>
      <c r="F35" s="33"/>
      <c r="G35" s="32">
        <f>(G18+G26)/G27</f>
        <v>0.33885282247346021</v>
      </c>
      <c r="H35" s="33"/>
      <c r="I35" s="32">
        <f>(I18+I26)/I27</f>
        <v>0.54549964193757972</v>
      </c>
      <c r="J35" s="33"/>
      <c r="K35" s="32">
        <f>(K18+K26)/K27</f>
        <v>0.38201254708975357</v>
      </c>
      <c r="L35" s="3"/>
      <c r="M35" s="51" t="s">
        <v>11</v>
      </c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3"/>
    </row>
    <row r="36" spans="1:25" x14ac:dyDescent="0.25">
      <c r="A36" t="s">
        <v>33</v>
      </c>
      <c r="C36" s="32">
        <f>(C18+C26)/C11</f>
        <v>0.94600813656657756</v>
      </c>
      <c r="D36" s="33"/>
      <c r="E36" s="32">
        <f>(E18+E26)/E11</f>
        <v>0.99124141047237035</v>
      </c>
      <c r="F36" s="33"/>
      <c r="G36" s="32">
        <f>(G18+G26)/G11</f>
        <v>0.93314439147399364</v>
      </c>
      <c r="H36" s="33"/>
      <c r="I36" s="32">
        <f>(I18+I26)/I11</f>
        <v>1.8717462712411148</v>
      </c>
      <c r="J36" s="33"/>
      <c r="K36" s="32">
        <f>(K18+K26)/K11</f>
        <v>1</v>
      </c>
      <c r="L36" s="3"/>
      <c r="M36" s="9" t="s">
        <v>12</v>
      </c>
      <c r="N36" s="13">
        <v>41380256000</v>
      </c>
      <c r="O36" s="13">
        <v>36651571861</v>
      </c>
      <c r="P36" s="13">
        <v>42276562000</v>
      </c>
      <c r="Q36" s="14">
        <v>0.13305221316246105</v>
      </c>
      <c r="R36" s="13">
        <v>44557826000</v>
      </c>
      <c r="S36" s="14">
        <v>5.1197829983895535E-2</v>
      </c>
      <c r="T36" s="13">
        <v>46551756000</v>
      </c>
      <c r="U36" s="14">
        <v>4.2832541053875607E-2</v>
      </c>
      <c r="V36" s="13">
        <v>49194124000</v>
      </c>
      <c r="W36" s="14">
        <v>5.3713081668046371E-2</v>
      </c>
      <c r="X36" s="13">
        <v>51694124000</v>
      </c>
      <c r="Y36" s="14">
        <v>4.8361395968330945E-2</v>
      </c>
    </row>
    <row r="37" spans="1:25" x14ac:dyDescent="0.25">
      <c r="L37" s="3"/>
      <c r="M37" s="9" t="s">
        <v>13</v>
      </c>
      <c r="N37" s="13">
        <v>60011127000</v>
      </c>
      <c r="O37" s="13">
        <v>59291800000</v>
      </c>
      <c r="P37" s="13">
        <v>66545198000</v>
      </c>
      <c r="Q37" s="14">
        <v>0.10899957048741518</v>
      </c>
      <c r="R37" s="13">
        <v>72515637000</v>
      </c>
      <c r="S37" s="14">
        <v>8.2333124923111414E-2</v>
      </c>
      <c r="T37" s="13">
        <v>75685157000</v>
      </c>
      <c r="U37" s="14">
        <v>4.1877696045474283E-2</v>
      </c>
      <c r="V37" s="13">
        <v>77880599000</v>
      </c>
      <c r="W37" s="14">
        <v>2.8189844816165321E-2</v>
      </c>
      <c r="X37" s="13">
        <v>83152293000</v>
      </c>
      <c r="Y37" s="14">
        <v>6.3398059269393806E-2</v>
      </c>
    </row>
    <row r="38" spans="1:25" x14ac:dyDescent="0.25">
      <c r="A38" s="29" t="s">
        <v>34</v>
      </c>
      <c r="L38" s="3"/>
      <c r="M38" s="9" t="s">
        <v>14</v>
      </c>
      <c r="N38" s="13"/>
      <c r="O38" s="13"/>
      <c r="P38" s="13">
        <v>57298000000</v>
      </c>
      <c r="Q38" s="14"/>
      <c r="R38" s="13"/>
      <c r="S38" s="14"/>
      <c r="T38" s="13">
        <v>90000000000</v>
      </c>
      <c r="U38" s="14"/>
      <c r="V38" s="13"/>
      <c r="W38" s="14"/>
      <c r="X38" s="13">
        <v>145000000000</v>
      </c>
      <c r="Y38" s="14"/>
    </row>
    <row r="39" spans="1:25" x14ac:dyDescent="0.25">
      <c r="A39" t="s">
        <v>35</v>
      </c>
      <c r="G39" s="37"/>
      <c r="L39" s="3"/>
      <c r="M39" s="18" t="s">
        <v>16</v>
      </c>
      <c r="N39" s="20">
        <v>101391383000</v>
      </c>
      <c r="O39" s="20">
        <v>95943371861</v>
      </c>
      <c r="P39" s="20">
        <v>166119760000</v>
      </c>
      <c r="Q39" s="21">
        <v>0.42244455529552893</v>
      </c>
      <c r="R39" s="20">
        <v>117073463000</v>
      </c>
      <c r="S39" s="21">
        <v>-0.41893607435187941</v>
      </c>
      <c r="T39" s="20">
        <v>212236913000</v>
      </c>
      <c r="U39" s="21">
        <v>0.44838312362750959</v>
      </c>
      <c r="V39" s="20">
        <v>127074723000</v>
      </c>
      <c r="W39" s="21">
        <v>-0.67017411480015576</v>
      </c>
      <c r="X39" s="20">
        <v>279846417000</v>
      </c>
      <c r="Y39" s="21">
        <v>0.5459126317847407</v>
      </c>
    </row>
    <row r="40" spans="1:25" x14ac:dyDescent="0.25">
      <c r="A40" t="s">
        <v>36</v>
      </c>
      <c r="L40" s="3"/>
      <c r="M40" s="54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6"/>
    </row>
    <row r="41" spans="1:25" x14ac:dyDescent="0.25">
      <c r="A41" t="s">
        <v>37</v>
      </c>
      <c r="L41" s="3"/>
      <c r="M41" s="51" t="s">
        <v>17</v>
      </c>
      <c r="N41" s="52"/>
      <c r="O41" s="52"/>
      <c r="P41" s="52"/>
      <c r="Q41" s="52"/>
      <c r="R41" s="52"/>
      <c r="S41" s="52"/>
      <c r="T41" s="52"/>
      <c r="U41" s="52"/>
      <c r="V41" s="53"/>
      <c r="W41" s="9"/>
      <c r="X41" s="13"/>
      <c r="Y41" s="9"/>
    </row>
    <row r="42" spans="1:25" x14ac:dyDescent="0.25">
      <c r="A42" t="s">
        <v>38</v>
      </c>
      <c r="L42" s="3"/>
      <c r="M42" s="9" t="s">
        <v>12</v>
      </c>
      <c r="N42" s="13"/>
      <c r="O42" s="13"/>
      <c r="P42" s="13"/>
      <c r="Q42" s="22"/>
      <c r="R42" s="13"/>
      <c r="S42" s="22"/>
      <c r="T42" s="13"/>
      <c r="U42" s="14"/>
      <c r="V42" s="13"/>
      <c r="W42" s="14"/>
      <c r="X42" s="13"/>
      <c r="Y42" s="14"/>
    </row>
    <row r="43" spans="1:25" x14ac:dyDescent="0.25">
      <c r="L43" s="3"/>
      <c r="M43" s="9" t="s">
        <v>18</v>
      </c>
      <c r="N43" s="13"/>
      <c r="O43" s="13"/>
      <c r="P43" s="13"/>
      <c r="Q43" s="22"/>
      <c r="R43" s="13"/>
      <c r="S43" s="14"/>
      <c r="T43" s="13"/>
      <c r="U43" s="14"/>
      <c r="V43" s="13"/>
      <c r="W43" s="14"/>
      <c r="X43" s="13"/>
      <c r="Y43" s="14"/>
    </row>
    <row r="44" spans="1:25" x14ac:dyDescent="0.25">
      <c r="A44" s="29" t="s">
        <v>39</v>
      </c>
      <c r="L44" s="3"/>
      <c r="M44" s="9" t="s">
        <v>19</v>
      </c>
      <c r="N44" s="13">
        <v>29762302000</v>
      </c>
      <c r="O44" s="13">
        <v>29421571861</v>
      </c>
      <c r="P44" s="13">
        <v>37764901000</v>
      </c>
      <c r="Q44" s="14">
        <v>0.22092813480432533</v>
      </c>
      <c r="R44" s="13">
        <v>42038574000</v>
      </c>
      <c r="S44" s="14">
        <v>0.10166075090939097</v>
      </c>
      <c r="T44" s="13">
        <v>43905204000</v>
      </c>
      <c r="U44" s="14">
        <v>4.2515005738271938E-2</v>
      </c>
      <c r="V44" s="13">
        <v>44585116000</v>
      </c>
      <c r="W44" s="14">
        <v>1.5249752854741928E-2</v>
      </c>
      <c r="X44" s="13">
        <v>47572112000</v>
      </c>
      <c r="Y44" s="14">
        <v>6.2788803658748643E-2</v>
      </c>
    </row>
    <row r="45" spans="1:25" x14ac:dyDescent="0.25">
      <c r="A45" t="s">
        <v>40</v>
      </c>
      <c r="L45" s="3"/>
      <c r="M45" s="9" t="s">
        <v>20</v>
      </c>
      <c r="N45" s="13">
        <v>10499785000</v>
      </c>
      <c r="O45" s="13">
        <v>7230000000</v>
      </c>
      <c r="P45" s="13">
        <v>4511661000</v>
      </c>
      <c r="Q45" s="14">
        <v>-0.60251401867294552</v>
      </c>
      <c r="R45" s="13">
        <v>2519252000</v>
      </c>
      <c r="S45" s="14">
        <v>-0.79087324332778142</v>
      </c>
      <c r="T45" s="13">
        <v>2646552000</v>
      </c>
      <c r="U45" s="14">
        <v>4.8100320719184811E-2</v>
      </c>
      <c r="V45" s="13">
        <v>4609008000</v>
      </c>
      <c r="W45" s="14">
        <v>0.42578706741233691</v>
      </c>
      <c r="X45" s="13">
        <v>4122012000</v>
      </c>
      <c r="Y45" s="14">
        <v>-0.11814521646225193</v>
      </c>
    </row>
    <row r="46" spans="1:25" x14ac:dyDescent="0.25">
      <c r="L46" s="3"/>
      <c r="M46" s="25" t="s">
        <v>21</v>
      </c>
      <c r="N46" s="20">
        <v>40262087000</v>
      </c>
      <c r="O46" s="20">
        <v>36651571861</v>
      </c>
      <c r="P46" s="20">
        <v>42276562000</v>
      </c>
      <c r="Q46" s="21">
        <v>0.13305221316246105</v>
      </c>
      <c r="R46" s="20">
        <v>44557826000</v>
      </c>
      <c r="S46" s="21">
        <v>5.1197829983895535E-2</v>
      </c>
      <c r="T46" s="20">
        <v>46551756000</v>
      </c>
      <c r="U46" s="21">
        <v>4.2832541053875607E-2</v>
      </c>
      <c r="V46" s="20">
        <v>49194124000</v>
      </c>
      <c r="W46" s="21">
        <v>5.3713081668046371E-2</v>
      </c>
      <c r="X46" s="20">
        <v>51694124000</v>
      </c>
      <c r="Y46" s="14">
        <v>4.8361395968330945E-2</v>
      </c>
    </row>
    <row r="47" spans="1:25" x14ac:dyDescent="0.25">
      <c r="L47" s="3"/>
      <c r="M47" s="9" t="s">
        <v>13</v>
      </c>
      <c r="N47" s="13"/>
      <c r="O47" s="13"/>
      <c r="P47" s="13"/>
      <c r="Q47" s="14"/>
      <c r="R47" s="13"/>
      <c r="S47" s="14"/>
      <c r="T47" s="13"/>
      <c r="U47" s="14"/>
      <c r="V47" s="13"/>
      <c r="W47" s="14"/>
      <c r="X47" s="13"/>
      <c r="Y47" s="14"/>
    </row>
    <row r="48" spans="1:25" x14ac:dyDescent="0.25">
      <c r="L48" s="3"/>
      <c r="M48" s="9" t="s">
        <v>18</v>
      </c>
      <c r="N48" s="13">
        <v>37366450000</v>
      </c>
      <c r="O48" s="13">
        <v>36700500000</v>
      </c>
      <c r="P48" s="13">
        <v>42126852000</v>
      </c>
      <c r="Q48" s="14">
        <v>0.12880981469965996</v>
      </c>
      <c r="R48" s="13">
        <v>47182070000</v>
      </c>
      <c r="S48" s="39">
        <v>0.10714277690656641</v>
      </c>
      <c r="T48" s="13">
        <v>50956640000</v>
      </c>
      <c r="U48" s="39">
        <v>7.4074154025854141E-2</v>
      </c>
      <c r="V48" s="13">
        <v>55033171000</v>
      </c>
      <c r="W48" s="39">
        <v>7.4074070709100159E-2</v>
      </c>
      <c r="X48" s="13">
        <v>58335161000</v>
      </c>
      <c r="Y48" s="14">
        <v>5.6603769380185645E-2</v>
      </c>
    </row>
    <row r="49" spans="12:25" x14ac:dyDescent="0.25">
      <c r="L49" s="3"/>
      <c r="M49" s="9" t="s">
        <v>19</v>
      </c>
      <c r="N49" s="13">
        <v>11711377000</v>
      </c>
      <c r="O49" s="13">
        <v>11658000000</v>
      </c>
      <c r="P49" s="13">
        <v>11364346000</v>
      </c>
      <c r="Q49" s="14">
        <v>-2.5839938347530074E-2</v>
      </c>
      <c r="R49" s="13">
        <v>11932563000</v>
      </c>
      <c r="S49" s="39">
        <v>4.7619023674964046E-2</v>
      </c>
      <c r="T49" s="13">
        <v>12648517000</v>
      </c>
      <c r="U49" s="39">
        <v>5.6603789993720212E-2</v>
      </c>
      <c r="V49" s="13">
        <v>13407428000</v>
      </c>
      <c r="W49" s="39">
        <v>5.6603772177631684E-2</v>
      </c>
      <c r="X49" s="13">
        <v>13957132000</v>
      </c>
      <c r="Y49" s="14">
        <v>3.9385168815484442E-2</v>
      </c>
    </row>
    <row r="50" spans="12:25" x14ac:dyDescent="0.25">
      <c r="L50" s="3"/>
      <c r="M50" s="9" t="s">
        <v>20</v>
      </c>
      <c r="N50" s="13">
        <v>214900000</v>
      </c>
      <c r="O50" s="13">
        <v>214900000</v>
      </c>
      <c r="P50" s="13">
        <v>250000000</v>
      </c>
      <c r="Q50" s="14">
        <v>0.1404</v>
      </c>
      <c r="R50" s="40">
        <v>300000000</v>
      </c>
      <c r="S50" s="39">
        <v>0.16666666666666666</v>
      </c>
      <c r="T50" s="13">
        <v>200000000</v>
      </c>
      <c r="U50" s="39">
        <v>-0.5</v>
      </c>
      <c r="V50" s="40">
        <v>200000000</v>
      </c>
      <c r="W50" s="39">
        <v>0</v>
      </c>
      <c r="X50" s="13">
        <v>300000000</v>
      </c>
      <c r="Y50" s="14">
        <v>0.33333333333333331</v>
      </c>
    </row>
    <row r="51" spans="12:25" x14ac:dyDescent="0.25">
      <c r="L51" s="3"/>
      <c r="M51" s="9" t="s">
        <v>22</v>
      </c>
      <c r="N51" s="13">
        <v>10718400000</v>
      </c>
      <c r="O51" s="13">
        <v>10718400000</v>
      </c>
      <c r="P51" s="13">
        <v>12804000000</v>
      </c>
      <c r="Q51" s="14">
        <v>0.16288659793814433</v>
      </c>
      <c r="R51" s="40">
        <v>13101000000</v>
      </c>
      <c r="S51" s="39">
        <v>2.2670025188916875E-2</v>
      </c>
      <c r="T51" s="13">
        <v>11880000000</v>
      </c>
      <c r="U51" s="39">
        <v>-0.10277777777777777</v>
      </c>
      <c r="V51" s="40">
        <v>9240000000</v>
      </c>
      <c r="W51" s="39">
        <v>-0.2857142857142857</v>
      </c>
      <c r="X51" s="13">
        <v>10560000000</v>
      </c>
      <c r="Y51" s="14">
        <v>0.125</v>
      </c>
    </row>
    <row r="52" spans="12:25" x14ac:dyDescent="0.25">
      <c r="L52" s="3"/>
      <c r="M52" s="25" t="s">
        <v>23</v>
      </c>
      <c r="N52" s="20">
        <v>60011127000</v>
      </c>
      <c r="O52" s="20">
        <v>59291800000</v>
      </c>
      <c r="P52" s="20">
        <v>66545198000</v>
      </c>
      <c r="Q52" s="14">
        <v>0.10899957048741518</v>
      </c>
      <c r="R52" s="27">
        <v>72515633000</v>
      </c>
      <c r="S52" s="14">
        <v>8.23330743041297E-2</v>
      </c>
      <c r="T52" s="27">
        <v>75685157000</v>
      </c>
      <c r="U52" s="14">
        <v>4.1877748895995555E-2</v>
      </c>
      <c r="V52" s="27">
        <v>77880599000</v>
      </c>
      <c r="W52" s="14">
        <v>2.8189844816165321E-2</v>
      </c>
      <c r="X52" s="27">
        <v>83152293000</v>
      </c>
      <c r="Y52" s="14">
        <v>6.3398059269393806E-2</v>
      </c>
    </row>
    <row r="53" spans="12:25" x14ac:dyDescent="0.25">
      <c r="L53" s="3"/>
      <c r="M53" s="9" t="s">
        <v>41</v>
      </c>
      <c r="N53" s="20"/>
      <c r="O53" s="20"/>
      <c r="P53" s="20"/>
      <c r="Q53" s="14"/>
      <c r="R53" s="27"/>
      <c r="S53" s="14"/>
      <c r="T53" s="27"/>
      <c r="U53" s="14"/>
      <c r="V53" s="27"/>
      <c r="W53" s="14"/>
      <c r="X53" s="27"/>
      <c r="Y53" s="21"/>
    </row>
    <row r="54" spans="12:25" x14ac:dyDescent="0.25">
      <c r="L54" s="3"/>
      <c r="M54" s="9" t="s">
        <v>24</v>
      </c>
      <c r="N54" s="13"/>
      <c r="O54" s="13"/>
      <c r="P54" s="13">
        <v>57298000000</v>
      </c>
      <c r="Q54" s="14">
        <v>1</v>
      </c>
      <c r="R54" s="13"/>
      <c r="S54" s="14"/>
      <c r="T54" s="13">
        <v>90000000000</v>
      </c>
      <c r="U54" s="14">
        <v>1</v>
      </c>
      <c r="V54" s="13"/>
      <c r="W54" s="14"/>
      <c r="X54" s="13">
        <v>145000000000</v>
      </c>
      <c r="Y54" s="14">
        <v>1</v>
      </c>
    </row>
    <row r="55" spans="12:25" x14ac:dyDescent="0.25">
      <c r="L55" s="3"/>
      <c r="M55" s="25" t="s">
        <v>26</v>
      </c>
      <c r="N55" s="20"/>
      <c r="O55" s="20"/>
      <c r="P55" s="20">
        <v>57298000000</v>
      </c>
      <c r="Q55" s="21">
        <v>1</v>
      </c>
      <c r="R55" s="20"/>
      <c r="S55" s="21"/>
      <c r="T55" s="20">
        <v>90000000000</v>
      </c>
      <c r="U55" s="21">
        <v>1</v>
      </c>
      <c r="V55" s="20"/>
      <c r="W55" s="21"/>
      <c r="X55" s="20">
        <v>145000000000</v>
      </c>
      <c r="Y55" s="21">
        <v>1</v>
      </c>
    </row>
    <row r="56" spans="12:25" x14ac:dyDescent="0.25">
      <c r="L56" s="3"/>
      <c r="M56" s="18" t="s">
        <v>27</v>
      </c>
      <c r="N56" s="27">
        <v>100273214000</v>
      </c>
      <c r="O56" s="27">
        <v>95943371861</v>
      </c>
      <c r="P56" s="27">
        <v>166119760000</v>
      </c>
      <c r="Q56" s="21">
        <v>0.42244455529552893</v>
      </c>
      <c r="R56" s="27">
        <v>117073459000</v>
      </c>
      <c r="S56" s="21">
        <v>-0.41893612283207587</v>
      </c>
      <c r="T56" s="27">
        <v>212236913000</v>
      </c>
      <c r="U56" s="21">
        <v>0.4483831424743725</v>
      </c>
      <c r="V56" s="27">
        <v>127074723000</v>
      </c>
      <c r="W56" s="21">
        <v>-0.67017411480015576</v>
      </c>
      <c r="X56" s="27">
        <v>279846417000</v>
      </c>
      <c r="Y56" s="21">
        <v>0.5459126317847407</v>
      </c>
    </row>
    <row r="57" spans="12:25" x14ac:dyDescent="0.25">
      <c r="L57" s="3"/>
      <c r="M57" s="3"/>
      <c r="N57" s="28"/>
      <c r="O57" s="28"/>
      <c r="P57" s="28"/>
      <c r="Q57" s="3"/>
      <c r="R57" s="28"/>
      <c r="S57" s="3"/>
      <c r="T57" s="28"/>
      <c r="U57" s="3"/>
      <c r="V57" s="28"/>
      <c r="W57" s="3"/>
      <c r="X57" s="28"/>
      <c r="Y57" s="3"/>
    </row>
    <row r="58" spans="12:25" x14ac:dyDescent="0.25">
      <c r="L58" s="3"/>
      <c r="M58" s="3"/>
      <c r="N58" s="28"/>
      <c r="O58" s="28"/>
      <c r="P58" s="28"/>
      <c r="Q58" s="3"/>
      <c r="R58" s="28"/>
      <c r="S58" s="3"/>
      <c r="T58" s="28"/>
      <c r="U58" s="3"/>
      <c r="V58" s="28"/>
      <c r="W58" s="3"/>
      <c r="X58" s="28"/>
      <c r="Y58" s="3"/>
    </row>
    <row r="59" spans="12:25" x14ac:dyDescent="0.25">
      <c r="L59" s="3"/>
      <c r="M59" s="3"/>
      <c r="N59" s="28"/>
      <c r="O59" s="28"/>
      <c r="P59" s="28"/>
      <c r="Q59" s="3"/>
      <c r="R59" s="28"/>
      <c r="S59" s="3"/>
      <c r="T59" s="28"/>
      <c r="U59" s="3"/>
      <c r="V59" s="28"/>
      <c r="W59" s="3"/>
      <c r="X59" s="28"/>
      <c r="Y59" s="3"/>
    </row>
    <row r="60" spans="12:25" x14ac:dyDescent="0.25">
      <c r="L60" s="3"/>
      <c r="M60" s="3"/>
      <c r="N60" s="28"/>
      <c r="O60" s="28"/>
      <c r="P60" s="28"/>
      <c r="Q60" s="3"/>
      <c r="R60" s="28"/>
      <c r="S60" s="3"/>
      <c r="T60" s="28"/>
      <c r="U60" s="3"/>
      <c r="V60" s="28"/>
      <c r="W60" s="3"/>
      <c r="X60" s="28"/>
      <c r="Y60" s="3"/>
    </row>
    <row r="61" spans="12:25" x14ac:dyDescent="0.25">
      <c r="L61" s="3"/>
      <c r="M61" s="3"/>
      <c r="N61" s="28"/>
      <c r="O61" s="28"/>
      <c r="P61" s="28"/>
      <c r="Q61" s="3"/>
      <c r="R61" s="28"/>
      <c r="S61" s="3"/>
      <c r="T61" s="28"/>
      <c r="U61" s="3"/>
      <c r="V61" s="28"/>
      <c r="W61" s="3"/>
      <c r="X61" s="28"/>
      <c r="Y61" s="3"/>
    </row>
    <row r="62" spans="12:25" x14ac:dyDescent="0.25">
      <c r="L62" s="3"/>
      <c r="M62" s="3"/>
      <c r="N62" s="28"/>
      <c r="O62" s="28"/>
      <c r="P62" s="28"/>
      <c r="Q62" s="3"/>
      <c r="R62" s="28"/>
      <c r="S62" s="3"/>
      <c r="T62" s="28"/>
      <c r="U62" s="3"/>
      <c r="V62" s="28"/>
      <c r="W62" s="3"/>
      <c r="X62" s="28"/>
      <c r="Y62" s="3"/>
    </row>
    <row r="63" spans="12:25" x14ac:dyDescent="0.25">
      <c r="L63" s="3"/>
      <c r="M63" s="3"/>
      <c r="N63" s="28"/>
      <c r="O63" s="28"/>
      <c r="P63" s="28"/>
      <c r="Q63" s="3"/>
      <c r="R63" s="28"/>
      <c r="S63" s="3"/>
      <c r="T63" s="28"/>
      <c r="U63" s="3"/>
      <c r="V63" s="28"/>
      <c r="W63" s="3"/>
      <c r="X63" s="28"/>
      <c r="Y63" s="3"/>
    </row>
    <row r="64" spans="12:25" x14ac:dyDescent="0.25">
      <c r="L64" s="3"/>
      <c r="M64" s="3"/>
      <c r="N64" s="28"/>
      <c r="O64" s="28"/>
      <c r="P64" s="28"/>
      <c r="Q64" s="3"/>
      <c r="R64" s="28"/>
      <c r="S64" s="3"/>
      <c r="T64" s="28"/>
      <c r="U64" s="3"/>
      <c r="V64" s="28"/>
      <c r="W64" s="3"/>
      <c r="X64" s="28"/>
      <c r="Y64" s="3"/>
    </row>
    <row r="65" spans="12:25" x14ac:dyDescent="0.25">
      <c r="L65" s="3"/>
      <c r="M65" s="3"/>
      <c r="N65" s="28"/>
      <c r="O65" s="28"/>
      <c r="P65" s="28"/>
      <c r="Q65" s="3"/>
      <c r="R65" s="28"/>
      <c r="S65" s="3"/>
      <c r="T65" s="28"/>
      <c r="U65" s="3"/>
      <c r="V65" s="28"/>
      <c r="W65" s="3"/>
      <c r="X65" s="28"/>
      <c r="Y65" s="3"/>
    </row>
  </sheetData>
  <mergeCells count="17">
    <mergeCell ref="A1:V2"/>
    <mergeCell ref="A3:K4"/>
    <mergeCell ref="M3:Y4"/>
    <mergeCell ref="A5:A7"/>
    <mergeCell ref="B5:K5"/>
    <mergeCell ref="M5:M6"/>
    <mergeCell ref="N5:Y5"/>
    <mergeCell ref="B6:C6"/>
    <mergeCell ref="D6:E6"/>
    <mergeCell ref="F6:G6"/>
    <mergeCell ref="M30:Y31"/>
    <mergeCell ref="M32:M33"/>
    <mergeCell ref="N32:Y32"/>
    <mergeCell ref="N33:O33"/>
    <mergeCell ref="H6:I6"/>
    <mergeCell ref="J6:K6"/>
    <mergeCell ref="N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Keuangan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aghaku</dc:creator>
  <cp:lastModifiedBy>DELL</cp:lastModifiedBy>
  <dcterms:created xsi:type="dcterms:W3CDTF">2023-11-03T10:49:57Z</dcterms:created>
  <dcterms:modified xsi:type="dcterms:W3CDTF">2026-06-08T07:51:53Z</dcterms:modified>
</cp:coreProperties>
</file>