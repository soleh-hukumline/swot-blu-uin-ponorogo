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08_TRPNBP\"/>
    </mc:Choice>
  </mc:AlternateContent>
  <bookViews>
    <workbookView xWindow="-105" yWindow="-105" windowWidth="19425" windowHeight="11505"/>
  </bookViews>
  <sheets>
    <sheet name="Rekap Omspan 2019-205" sheetId="5" r:id="rId1"/>
    <sheet name="Rekap Realisasi PNBP-RKAKL" sheetId="1" r:id="rId2"/>
    <sheet name="TRPNBP 2019-2030" sheetId="3" r:id="rId3"/>
    <sheet name="Proyeksi 2025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6" i="3" l="1"/>
  <c r="H85" i="5" l="1"/>
  <c r="D85" i="5"/>
  <c r="D73" i="5"/>
  <c r="D66" i="5" s="1"/>
  <c r="H66" i="5"/>
  <c r="E66" i="5"/>
  <c r="I47" i="5"/>
  <c r="H47" i="5"/>
  <c r="E47" i="5"/>
  <c r="D47" i="5"/>
  <c r="I27" i="5"/>
  <c r="H27" i="5"/>
  <c r="E27" i="5"/>
  <c r="D27" i="5"/>
  <c r="I8" i="5"/>
  <c r="H8" i="5"/>
  <c r="E8" i="5"/>
  <c r="G8" i="5" s="1"/>
  <c r="D8" i="5"/>
  <c r="I66" i="1"/>
  <c r="E66" i="1"/>
  <c r="I86" i="1"/>
  <c r="D86" i="1"/>
  <c r="F66" i="5" l="1"/>
  <c r="G66" i="5"/>
  <c r="G47" i="5"/>
  <c r="F47" i="5"/>
  <c r="G27" i="5"/>
  <c r="K8" i="5"/>
  <c r="K27" i="5"/>
  <c r="K47" i="5"/>
  <c r="F8" i="5"/>
  <c r="J8" i="5"/>
  <c r="F27" i="5"/>
  <c r="J27" i="5"/>
  <c r="J47" i="5"/>
  <c r="E66" i="3"/>
  <c r="J14" i="4" l="1"/>
  <c r="H5" i="4"/>
  <c r="I12" i="4"/>
  <c r="I5" i="4" s="1"/>
  <c r="F5" i="4"/>
  <c r="G8" i="4"/>
  <c r="G10" i="4"/>
  <c r="J10" i="4" s="1"/>
  <c r="K10" i="4" s="1"/>
  <c r="G12" i="4"/>
  <c r="E5" i="4"/>
  <c r="D5" i="4"/>
  <c r="J12" i="4" l="1"/>
  <c r="K12" i="4" s="1"/>
  <c r="G5" i="4"/>
  <c r="J8" i="4"/>
  <c r="K8" i="4" s="1"/>
  <c r="J5" i="4"/>
  <c r="K5" i="4" s="1"/>
  <c r="H66" i="3"/>
  <c r="D106" i="3"/>
  <c r="D86" i="3" l="1"/>
  <c r="H126" i="3"/>
  <c r="E126" i="3"/>
  <c r="D126" i="3"/>
  <c r="H106" i="3"/>
  <c r="H86" i="3"/>
  <c r="D73" i="3"/>
  <c r="D66" i="3" s="1"/>
  <c r="I47" i="3"/>
  <c r="H47" i="3"/>
  <c r="E47" i="3"/>
  <c r="D47" i="3"/>
  <c r="I27" i="3"/>
  <c r="H27" i="3"/>
  <c r="E27" i="3"/>
  <c r="D27" i="3"/>
  <c r="I8" i="3"/>
  <c r="H8" i="3"/>
  <c r="E8" i="3"/>
  <c r="D8" i="3"/>
  <c r="J47" i="3" l="1"/>
  <c r="J8" i="3"/>
  <c r="F47" i="3"/>
  <c r="F27" i="3"/>
  <c r="J27" i="3"/>
  <c r="F8" i="3"/>
  <c r="J47" i="1"/>
  <c r="D73" i="1" l="1"/>
  <c r="D66" i="1" s="1"/>
  <c r="F66" i="1" l="1"/>
  <c r="G66" i="1"/>
  <c r="E8" i="1"/>
  <c r="D8" i="1"/>
  <c r="F8" i="1" l="1"/>
  <c r="G8" i="1"/>
  <c r="J27" i="1"/>
  <c r="E27" i="1"/>
  <c r="J8" i="1"/>
  <c r="I8" i="1"/>
  <c r="D27" i="1"/>
  <c r="I27" i="1"/>
  <c r="I47" i="1"/>
  <c r="D47" i="1"/>
  <c r="E47" i="1"/>
  <c r="L27" i="1" l="1"/>
  <c r="K27" i="1"/>
  <c r="G27" i="1"/>
  <c r="F27" i="1"/>
  <c r="F47" i="1"/>
  <c r="G47" i="1"/>
  <c r="K47" i="1"/>
  <c r="L47" i="1"/>
  <c r="K8" i="1"/>
  <c r="L8" i="1"/>
</calcChain>
</file>

<file path=xl/sharedStrings.xml><?xml version="1.0" encoding="utf-8"?>
<sst xmlns="http://schemas.openxmlformats.org/spreadsheetml/2006/main" count="386" uniqueCount="25">
  <si>
    <t>025.04.DK</t>
  </si>
  <si>
    <t>Program Pendidikan Tinggi</t>
  </si>
  <si>
    <t>Pendapatan Ujian/Seleksi Masuk Pendidikan</t>
  </si>
  <si>
    <t>Pendapatan Biaya Pendidikan</t>
  </si>
  <si>
    <t>Pendapatan Pendidikan Lainnya</t>
  </si>
  <si>
    <t>KODE</t>
  </si>
  <si>
    <t>URAIAN</t>
  </si>
  <si>
    <t>REALISASI RKAKL</t>
  </si>
  <si>
    <t>REALISASI PNBP</t>
  </si>
  <si>
    <t>TARGET PNBP</t>
  </si>
  <si>
    <t>PROPOSAL</t>
  </si>
  <si>
    <t>TARGET PENERIMAAN NEGARA BUKAN PAJAK (PNBP)</t>
  </si>
  <si>
    <t>INSTITUT AGAMA ISLAM NEGERI PONOROGO</t>
  </si>
  <si>
    <t>Peningkatan Akses Mutu Relevansi dan Daya Saing Pendidikan Tinggi Keagamaan Islam</t>
  </si>
  <si>
    <t>Pendapatan Sewa Tanah Gedung dan Bangunan</t>
  </si>
  <si>
    <t>PNBP</t>
  </si>
  <si>
    <t xml:space="preserve">REALISASI PNBP </t>
  </si>
  <si>
    <t>REAL JAN-MARET (GENAP)</t>
  </si>
  <si>
    <t>PER 1 JULI</t>
  </si>
  <si>
    <t>MHS BARU SPAN  + MANDIRI 1</t>
  </si>
  <si>
    <t>Proyeksi UM + MANDIRI II</t>
  </si>
  <si>
    <t>JUMLAH PROYEKSI</t>
  </si>
  <si>
    <t>Proyeksi MHS LAMA GANJIL</t>
  </si>
  <si>
    <t>%</t>
  </si>
  <si>
    <t>SELISIH PNBP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</si>
</sst>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41" fontId="2" fillId="0" borderId="1" xfId="1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2" fillId="0" borderId="0" xfId="1" applyFont="1" applyBorder="1" applyAlignment="1">
      <alignment horizontal="left" wrapText="1"/>
    </xf>
    <xf numFmtId="41" fontId="2" fillId="0" borderId="0" xfId="1" applyFont="1" applyBorder="1" applyAlignment="1">
      <alignment wrapText="1"/>
    </xf>
    <xf numFmtId="41" fontId="2" fillId="0" borderId="0" xfId="1" applyFont="1" applyBorder="1"/>
    <xf numFmtId="41" fontId="2" fillId="0" borderId="0" xfId="0" applyNumberFormat="1" applyFont="1"/>
    <xf numFmtId="0" fontId="3" fillId="0" borderId="0" xfId="0" applyFont="1"/>
    <xf numFmtId="41" fontId="2" fillId="0" borderId="0" xfId="1" applyFont="1"/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2" fillId="0" borderId="1" xfId="1" applyNumberFormat="1" applyFont="1" applyBorder="1" applyAlignment="1">
      <alignment horizontal="center" vertical="top"/>
    </xf>
    <xf numFmtId="41" fontId="2" fillId="0" borderId="1" xfId="1" applyFont="1" applyBorder="1" applyAlignment="1">
      <alignment horizontal="left" vertical="top" wrapText="1"/>
    </xf>
    <xf numFmtId="41" fontId="2" fillId="0" borderId="1" xfId="1" applyFont="1" applyBorder="1" applyAlignment="1">
      <alignment vertical="top"/>
    </xf>
    <xf numFmtId="41" fontId="2" fillId="0" borderId="1" xfId="1" applyFont="1" applyBorder="1" applyAlignment="1">
      <alignment vertical="top" wrapText="1"/>
    </xf>
    <xf numFmtId="0" fontId="2" fillId="0" borderId="0" xfId="1" applyNumberFormat="1" applyFont="1" applyBorder="1" applyAlignment="1">
      <alignment horizontal="center" vertical="top"/>
    </xf>
    <xf numFmtId="41" fontId="2" fillId="0" borderId="0" xfId="1" applyFont="1" applyBorder="1" applyAlignment="1">
      <alignment horizontal="left" vertical="top" wrapText="1"/>
    </xf>
    <xf numFmtId="41" fontId="2" fillId="0" borderId="0" xfId="1" applyFont="1" applyBorder="1" applyAlignment="1">
      <alignment vertical="top" wrapText="1"/>
    </xf>
    <xf numFmtId="41" fontId="2" fillId="0" borderId="0" xfId="1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41" fontId="2" fillId="0" borderId="1" xfId="0" applyNumberFormat="1" applyFont="1" applyBorder="1" applyAlignment="1">
      <alignment vertical="top"/>
    </xf>
    <xf numFmtId="41" fontId="2" fillId="0" borderId="0" xfId="0" applyNumberFormat="1" applyFont="1" applyAlignment="1">
      <alignment vertical="top"/>
    </xf>
    <xf numFmtId="0" fontId="2" fillId="0" borderId="1" xfId="0" applyFont="1" applyBorder="1" applyAlignment="1">
      <alignment vertical="top"/>
    </xf>
    <xf numFmtId="41" fontId="2" fillId="0" borderId="0" xfId="1" applyFont="1" applyAlignment="1">
      <alignment vertical="top"/>
    </xf>
    <xf numFmtId="9" fontId="2" fillId="0" borderId="1" xfId="2" applyFont="1" applyBorder="1" applyAlignment="1">
      <alignment vertical="top"/>
    </xf>
    <xf numFmtId="41" fontId="3" fillId="5" borderId="1" xfId="1" applyFont="1" applyFill="1" applyBorder="1" applyAlignment="1">
      <alignment horizontal="center" vertical="center" wrapText="1"/>
    </xf>
    <xf numFmtId="41" fontId="3" fillId="5" borderId="1" xfId="1" applyFont="1" applyFill="1" applyBorder="1" applyAlignment="1">
      <alignment horizontal="center" vertical="center"/>
    </xf>
    <xf numFmtId="41" fontId="3" fillId="0" borderId="0" xfId="1" applyFont="1" applyAlignment="1">
      <alignment horizontal="center" vertical="center"/>
    </xf>
    <xf numFmtId="41" fontId="3" fillId="2" borderId="1" xfId="1" applyFont="1" applyFill="1" applyBorder="1" applyAlignment="1">
      <alignment horizontal="center" vertical="center" wrapText="1"/>
    </xf>
    <xf numFmtId="41" fontId="3" fillId="4" borderId="1" xfId="1" applyFont="1" applyFill="1" applyBorder="1" applyAlignment="1">
      <alignment horizontal="center" vertical="center" wrapText="1"/>
    </xf>
    <xf numFmtId="41" fontId="3" fillId="3" borderId="1" xfId="1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/>
    </xf>
    <xf numFmtId="41" fontId="2" fillId="4" borderId="1" xfId="1" applyFont="1" applyFill="1" applyBorder="1" applyAlignment="1">
      <alignment horizontal="center" vertical="center"/>
    </xf>
    <xf numFmtId="41" fontId="2" fillId="3" borderId="1" xfId="1" applyFont="1" applyFill="1" applyBorder="1" applyAlignment="1">
      <alignment horizontal="center" vertical="center"/>
    </xf>
    <xf numFmtId="41" fontId="2" fillId="5" borderId="1" xfId="1" applyFont="1" applyFill="1" applyBorder="1" applyAlignment="1">
      <alignment horizontal="center" vertical="center"/>
    </xf>
    <xf numFmtId="41" fontId="2" fillId="0" borderId="0" xfId="1" applyFont="1" applyAlignment="1">
      <alignment horizontal="center" vertical="center"/>
    </xf>
    <xf numFmtId="0" fontId="3" fillId="0" borderId="1" xfId="1" applyNumberFormat="1" applyFont="1" applyBorder="1" applyAlignment="1">
      <alignment horizontal="center" vertical="top"/>
    </xf>
    <xf numFmtId="41" fontId="3" fillId="0" borderId="1" xfId="1" applyFont="1" applyBorder="1" applyAlignment="1">
      <alignment horizontal="left" vertical="top" wrapText="1"/>
    </xf>
    <xf numFmtId="9" fontId="3" fillId="0" borderId="1" xfId="2" applyFont="1" applyBorder="1" applyAlignment="1">
      <alignment horizontal="center" vertical="center"/>
    </xf>
    <xf numFmtId="9" fontId="2" fillId="0" borderId="1" xfId="2" applyFont="1" applyBorder="1"/>
    <xf numFmtId="9" fontId="2" fillId="0" borderId="0" xfId="2" applyFo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/>
    </xf>
    <xf numFmtId="41" fontId="3" fillId="0" borderId="1" xfId="1" applyFont="1" applyBorder="1" applyAlignment="1">
      <alignment horizontal="left" wrapText="1"/>
    </xf>
    <xf numFmtId="0" fontId="3" fillId="0" borderId="0" xfId="1" applyNumberFormat="1" applyFont="1" applyBorder="1" applyAlignment="1">
      <alignment horizontal="center"/>
    </xf>
    <xf numFmtId="41" fontId="3" fillId="0" borderId="0" xfId="1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41" fontId="3" fillId="0" borderId="0" xfId="0" applyNumberFormat="1" applyFont="1"/>
    <xf numFmtId="41" fontId="3" fillId="0" borderId="1" xfId="1" applyFont="1" applyBorder="1" applyAlignment="1">
      <alignment vertical="top"/>
    </xf>
    <xf numFmtId="0" fontId="3" fillId="9" borderId="1" xfId="0" applyFont="1" applyFill="1" applyBorder="1" applyAlignment="1">
      <alignment horizontal="center" vertical="center" wrapText="1"/>
    </xf>
    <xf numFmtId="41" fontId="3" fillId="0" borderId="1" xfId="1" applyFont="1" applyBorder="1" applyAlignment="1">
      <alignment wrapText="1"/>
    </xf>
    <xf numFmtId="41" fontId="3" fillId="7" borderId="1" xfId="1" applyFont="1" applyFill="1" applyBorder="1" applyAlignment="1">
      <alignment wrapText="1"/>
    </xf>
    <xf numFmtId="10" fontId="3" fillId="0" borderId="1" xfId="2" applyNumberFormat="1" applyFont="1" applyFill="1" applyBorder="1" applyAlignment="1">
      <alignment wrapText="1"/>
    </xf>
    <xf numFmtId="41" fontId="3" fillId="5" borderId="1" xfId="1" applyFont="1" applyFill="1" applyBorder="1" applyAlignment="1">
      <alignment wrapText="1"/>
    </xf>
    <xf numFmtId="41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41" fontId="2" fillId="0" borderId="1" xfId="0" applyNumberFormat="1" applyFont="1" applyBorder="1" applyAlignment="1">
      <alignment wrapText="1"/>
    </xf>
    <xf numFmtId="41" fontId="2" fillId="0" borderId="0" xfId="0" applyNumberFormat="1" applyFont="1" applyAlignment="1">
      <alignment wrapText="1"/>
    </xf>
    <xf numFmtId="0" fontId="3" fillId="0" borderId="1" xfId="0" applyFont="1" applyBorder="1" applyAlignment="1">
      <alignment wrapText="1"/>
    </xf>
    <xf numFmtId="41" fontId="3" fillId="0" borderId="1" xfId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1" fontId="2" fillId="0" borderId="0" xfId="0" applyNumberFormat="1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7" xfId="1" applyNumberFormat="1" applyFont="1" applyFill="1" applyBorder="1" applyAlignment="1">
      <alignment horizontal="center" vertical="center"/>
    </xf>
    <xf numFmtId="0" fontId="3" fillId="6" borderId="0" xfId="1" applyNumberFormat="1" applyFont="1" applyFill="1" applyBorder="1" applyAlignment="1">
      <alignment horizontal="center" vertical="center"/>
    </xf>
    <xf numFmtId="165" fontId="2" fillId="0" borderId="1" xfId="3" applyNumberFormat="1" applyFont="1" applyBorder="1" applyAlignment="1">
      <alignment vertical="top"/>
    </xf>
    <xf numFmtId="0" fontId="3" fillId="7" borderId="4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</cellXfs>
  <cellStyles count="4">
    <cellStyle name="Comma" xfId="3" builtinId="3"/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11"/>
  <sheetViews>
    <sheetView tabSelected="1" view="pageBreakPreview" topLeftCell="B90" zoomScale="80" zoomScaleNormal="80" zoomScaleSheetLayoutView="80" workbookViewId="0">
      <selection activeCell="G103" sqref="G103"/>
    </sheetView>
  </sheetViews>
  <sheetFormatPr defaultColWidth="9.140625" defaultRowHeight="15.75" x14ac:dyDescent="0.25"/>
  <cols>
    <col min="1" max="1" width="5.42578125" style="3" customWidth="1"/>
    <col min="2" max="2" width="12.85546875" style="53" customWidth="1"/>
    <col min="3" max="3" width="34.28515625" style="62" customWidth="1"/>
    <col min="4" max="4" width="18.85546875" style="1" bestFit="1" customWidth="1"/>
    <col min="5" max="5" width="18.42578125" style="1" customWidth="1"/>
    <col min="6" max="6" width="18.85546875" style="1" bestFit="1" customWidth="1"/>
    <col min="7" max="7" width="10.5703125" style="1" bestFit="1" customWidth="1"/>
    <col min="8" max="8" width="18.85546875" style="2" bestFit="1" customWidth="1"/>
    <col min="9" max="9" width="19.42578125" style="2" customWidth="1"/>
    <col min="10" max="10" width="17.7109375" style="2" bestFit="1" customWidth="1"/>
    <col min="11" max="11" width="9.28515625" style="2" bestFit="1" customWidth="1"/>
    <col min="12" max="12" width="18.85546875" style="3" bestFit="1" customWidth="1"/>
    <col min="13" max="14" width="18.85546875" style="3" customWidth="1"/>
    <col min="15" max="15" width="18.85546875" style="3" bestFit="1" customWidth="1"/>
    <col min="16" max="17" width="18.85546875" style="3" customWidth="1"/>
    <col min="18" max="18" width="18.85546875" style="3" bestFit="1" customWidth="1"/>
    <col min="19" max="20" width="18.85546875" style="3" customWidth="1"/>
    <col min="21" max="21" width="18.85546875" style="3" bestFit="1" customWidth="1"/>
    <col min="22" max="23" width="18.85546875" style="3" customWidth="1"/>
    <col min="24" max="16384" width="9.140625" style="3"/>
  </cols>
  <sheetData>
    <row r="1" spans="2:14" x14ac:dyDescent="0.25">
      <c r="B1" s="78" t="s">
        <v>10</v>
      </c>
      <c r="C1" s="78"/>
      <c r="D1" s="78"/>
      <c r="E1" s="78"/>
      <c r="F1" s="78"/>
      <c r="G1" s="78"/>
      <c r="H1" s="78"/>
      <c r="I1" s="78"/>
      <c r="J1" s="78"/>
      <c r="K1" s="78"/>
      <c r="L1" s="11"/>
      <c r="M1" s="11"/>
      <c r="N1" s="11"/>
    </row>
    <row r="2" spans="2:14" x14ac:dyDescent="0.25">
      <c r="B2" s="78" t="s">
        <v>11</v>
      </c>
      <c r="C2" s="78"/>
      <c r="D2" s="78"/>
      <c r="E2" s="78"/>
      <c r="F2" s="78"/>
      <c r="G2" s="78"/>
      <c r="H2" s="78"/>
      <c r="I2" s="78"/>
      <c r="J2" s="78"/>
      <c r="K2" s="78"/>
      <c r="L2" s="11"/>
      <c r="M2" s="11"/>
      <c r="N2" s="11"/>
    </row>
    <row r="3" spans="2:14" x14ac:dyDescent="0.25">
      <c r="B3" s="78" t="s">
        <v>12</v>
      </c>
      <c r="C3" s="78"/>
      <c r="D3" s="78"/>
      <c r="E3" s="78"/>
      <c r="F3" s="78"/>
      <c r="G3" s="78"/>
      <c r="H3" s="78"/>
      <c r="I3" s="78"/>
      <c r="J3" s="78"/>
      <c r="K3" s="78"/>
      <c r="L3" s="11"/>
      <c r="M3" s="11"/>
      <c r="N3" s="11"/>
    </row>
    <row r="4" spans="2:14" x14ac:dyDescent="0.25">
      <c r="B4" s="11"/>
      <c r="C4" s="11"/>
      <c r="D4" s="2"/>
      <c r="E4" s="2"/>
      <c r="F4" s="2"/>
      <c r="G4" s="2"/>
    </row>
    <row r="6" spans="2:14" s="5" customFormat="1" x14ac:dyDescent="0.25">
      <c r="B6" s="79" t="s">
        <v>5</v>
      </c>
      <c r="C6" s="81" t="s">
        <v>6</v>
      </c>
      <c r="D6" s="89">
        <v>2019</v>
      </c>
      <c r="E6" s="90"/>
      <c r="F6" s="90"/>
      <c r="G6" s="90"/>
      <c r="H6" s="91">
        <v>2020</v>
      </c>
      <c r="I6" s="92"/>
      <c r="J6" s="92"/>
      <c r="K6" s="92"/>
    </row>
    <row r="7" spans="2:14" s="5" customFormat="1" ht="31.5" x14ac:dyDescent="0.25">
      <c r="B7" s="80"/>
      <c r="C7" s="82"/>
      <c r="D7" s="57" t="s">
        <v>9</v>
      </c>
      <c r="E7" s="57" t="s">
        <v>8</v>
      </c>
      <c r="F7" s="57" t="s">
        <v>24</v>
      </c>
      <c r="G7" s="57" t="s">
        <v>23</v>
      </c>
      <c r="H7" s="55" t="s">
        <v>9</v>
      </c>
      <c r="I7" s="55" t="s">
        <v>8</v>
      </c>
      <c r="J7" s="55" t="s">
        <v>24</v>
      </c>
      <c r="K7" s="55" t="s">
        <v>23</v>
      </c>
    </row>
    <row r="8" spans="2:14" s="11" customFormat="1" x14ac:dyDescent="0.25">
      <c r="B8" s="58" t="s">
        <v>0</v>
      </c>
      <c r="C8" s="59" t="s">
        <v>1</v>
      </c>
      <c r="D8" s="66">
        <f t="shared" ref="D8:E8" si="0">SUM(D9:D17)</f>
        <v>23739397500</v>
      </c>
      <c r="E8" s="66">
        <f t="shared" si="0"/>
        <v>23841997500</v>
      </c>
      <c r="F8" s="67">
        <f>E8-D8</f>
        <v>102600000</v>
      </c>
      <c r="G8" s="68">
        <f>E8/D8</f>
        <v>1.0043219294002723</v>
      </c>
      <c r="H8" s="66">
        <f t="shared" ref="H8:I8" si="1">SUM(H9:H17)</f>
        <v>29016054000</v>
      </c>
      <c r="I8" s="66">
        <f t="shared" si="1"/>
        <v>28777122500</v>
      </c>
      <c r="J8" s="69">
        <f>I8-H8</f>
        <v>-238931500</v>
      </c>
      <c r="K8" s="68">
        <f>I8/H8</f>
        <v>0.9917655412414107</v>
      </c>
    </row>
    <row r="9" spans="2:14" ht="63" x14ac:dyDescent="0.25">
      <c r="B9" s="58">
        <v>2132</v>
      </c>
      <c r="C9" s="59" t="s">
        <v>13</v>
      </c>
      <c r="D9" s="4"/>
      <c r="E9" s="4"/>
      <c r="F9" s="4"/>
      <c r="G9" s="4"/>
      <c r="H9" s="4"/>
      <c r="I9" s="4"/>
      <c r="J9" s="4"/>
      <c r="K9" s="4"/>
    </row>
    <row r="10" spans="2:14" x14ac:dyDescent="0.25">
      <c r="B10" s="58"/>
      <c r="C10" s="59"/>
      <c r="D10" s="4"/>
      <c r="E10" s="4"/>
      <c r="F10" s="4"/>
      <c r="G10" s="4"/>
      <c r="H10" s="4"/>
      <c r="I10" s="4"/>
      <c r="J10" s="4"/>
      <c r="K10" s="4"/>
    </row>
    <row r="11" spans="2:14" ht="31.5" x14ac:dyDescent="0.25">
      <c r="B11" s="58">
        <v>425131</v>
      </c>
      <c r="C11" s="59" t="s">
        <v>14</v>
      </c>
      <c r="D11" s="4"/>
      <c r="E11" s="4">
        <v>52200000</v>
      </c>
      <c r="F11" s="4"/>
      <c r="G11" s="4"/>
      <c r="H11" s="4"/>
      <c r="I11" s="4">
        <v>46315000</v>
      </c>
      <c r="J11" s="4"/>
      <c r="K11" s="4"/>
    </row>
    <row r="12" spans="2:14" x14ac:dyDescent="0.25">
      <c r="B12" s="58"/>
      <c r="C12" s="59"/>
      <c r="D12" s="4"/>
      <c r="E12" s="4"/>
      <c r="F12" s="4"/>
      <c r="G12" s="4"/>
      <c r="H12" s="4"/>
      <c r="I12" s="4"/>
      <c r="J12" s="4"/>
      <c r="K12" s="4"/>
    </row>
    <row r="13" spans="2:14" ht="31.5" x14ac:dyDescent="0.25">
      <c r="B13" s="58">
        <v>425411</v>
      </c>
      <c r="C13" s="59" t="s">
        <v>2</v>
      </c>
      <c r="D13" s="4">
        <v>108200000</v>
      </c>
      <c r="E13" s="4">
        <v>108200000</v>
      </c>
      <c r="F13" s="4"/>
      <c r="G13" s="4"/>
      <c r="H13" s="4"/>
      <c r="I13" s="4">
        <v>66000000</v>
      </c>
      <c r="J13" s="4"/>
      <c r="K13" s="4"/>
    </row>
    <row r="14" spans="2:14" x14ac:dyDescent="0.25">
      <c r="B14" s="58"/>
      <c r="C14" s="59"/>
      <c r="D14" s="4"/>
      <c r="E14" s="4"/>
      <c r="F14" s="4"/>
      <c r="G14" s="4"/>
      <c r="H14" s="4"/>
      <c r="I14" s="4"/>
      <c r="J14" s="4"/>
      <c r="K14" s="4"/>
    </row>
    <row r="15" spans="2:14" ht="31.5" x14ac:dyDescent="0.25">
      <c r="B15" s="58">
        <v>425412</v>
      </c>
      <c r="C15" s="59" t="s">
        <v>3</v>
      </c>
      <c r="D15" s="4">
        <v>23579197500</v>
      </c>
      <c r="E15" s="4">
        <v>23664697500</v>
      </c>
      <c r="F15" s="4"/>
      <c r="G15" s="4"/>
      <c r="H15" s="4">
        <v>29016054000</v>
      </c>
      <c r="I15" s="4">
        <v>28658907500</v>
      </c>
      <c r="J15" s="4"/>
      <c r="K15" s="4"/>
    </row>
    <row r="16" spans="2:14" x14ac:dyDescent="0.25">
      <c r="B16" s="58"/>
      <c r="C16" s="59"/>
      <c r="D16" s="4"/>
      <c r="E16" s="4"/>
      <c r="F16" s="4"/>
      <c r="G16" s="4"/>
      <c r="H16" s="4"/>
      <c r="I16" s="4"/>
      <c r="J16" s="4"/>
      <c r="K16" s="4"/>
    </row>
    <row r="17" spans="2:16" ht="31.5" x14ac:dyDescent="0.25">
      <c r="B17" s="58">
        <v>425419</v>
      </c>
      <c r="C17" s="59" t="s">
        <v>4</v>
      </c>
      <c r="D17" s="4">
        <v>52000000</v>
      </c>
      <c r="E17" s="4">
        <v>16900000</v>
      </c>
      <c r="F17" s="4"/>
      <c r="G17" s="4"/>
      <c r="H17" s="4"/>
      <c r="I17" s="4">
        <v>5900000</v>
      </c>
      <c r="J17" s="4"/>
      <c r="K17" s="4"/>
    </row>
    <row r="18" spans="2:16" x14ac:dyDescent="0.25">
      <c r="B18" s="60"/>
      <c r="C18" s="61"/>
      <c r="D18" s="7"/>
      <c r="E18" s="7"/>
      <c r="F18" s="7"/>
      <c r="G18" s="7"/>
      <c r="H18" s="8"/>
      <c r="I18" s="8"/>
      <c r="J18" s="8"/>
      <c r="K18" s="8"/>
      <c r="L18" s="9"/>
      <c r="M18" s="9"/>
      <c r="N18" s="9"/>
    </row>
    <row r="19" spans="2:16" x14ac:dyDescent="0.25">
      <c r="B19" s="60"/>
      <c r="C19" s="61"/>
      <c r="D19" s="7"/>
      <c r="E19" s="7"/>
      <c r="F19" s="7"/>
      <c r="G19" s="7"/>
      <c r="H19" s="8"/>
      <c r="I19" s="8"/>
      <c r="J19" s="8"/>
      <c r="K19" s="8"/>
      <c r="L19" s="9"/>
      <c r="M19" s="9"/>
      <c r="N19" s="9"/>
    </row>
    <row r="20" spans="2:16" x14ac:dyDescent="0.25">
      <c r="B20" s="78" t="s">
        <v>10</v>
      </c>
      <c r="C20" s="78"/>
      <c r="D20" s="78"/>
      <c r="E20" s="78"/>
      <c r="F20" s="78"/>
      <c r="G20" s="78"/>
      <c r="H20" s="78"/>
      <c r="I20" s="78"/>
      <c r="J20" s="78"/>
      <c r="K20" s="78"/>
      <c r="L20" s="11"/>
      <c r="M20" s="11"/>
      <c r="N20" s="11"/>
    </row>
    <row r="21" spans="2:16" x14ac:dyDescent="0.25">
      <c r="B21" s="78" t="s">
        <v>11</v>
      </c>
      <c r="C21" s="78"/>
      <c r="D21" s="78"/>
      <c r="E21" s="78"/>
      <c r="F21" s="78"/>
      <c r="G21" s="78"/>
      <c r="H21" s="78"/>
      <c r="I21" s="78"/>
      <c r="J21" s="78"/>
      <c r="K21" s="78"/>
      <c r="L21" s="11"/>
      <c r="M21" s="11"/>
      <c r="N21" s="11"/>
    </row>
    <row r="22" spans="2:16" x14ac:dyDescent="0.25">
      <c r="B22" s="78" t="s">
        <v>12</v>
      </c>
      <c r="C22" s="78"/>
      <c r="D22" s="78"/>
      <c r="E22" s="78"/>
      <c r="F22" s="78"/>
      <c r="G22" s="78"/>
      <c r="H22" s="78"/>
      <c r="I22" s="78"/>
      <c r="J22" s="78"/>
      <c r="K22" s="78"/>
      <c r="L22" s="11"/>
      <c r="M22" s="11"/>
      <c r="N22" s="11"/>
    </row>
    <row r="23" spans="2:16" x14ac:dyDescent="0.25">
      <c r="B23" s="60"/>
      <c r="C23" s="61"/>
      <c r="D23" s="7"/>
      <c r="E23" s="7"/>
      <c r="F23" s="7"/>
      <c r="G23" s="7"/>
      <c r="H23" s="8"/>
      <c r="I23" s="8"/>
      <c r="J23" s="8"/>
      <c r="K23" s="8"/>
      <c r="L23" s="9"/>
      <c r="M23" s="9"/>
      <c r="N23" s="9"/>
    </row>
    <row r="24" spans="2:16" x14ac:dyDescent="0.25">
      <c r="P24" s="53"/>
    </row>
    <row r="25" spans="2:16" s="6" customFormat="1" x14ac:dyDescent="0.25">
      <c r="B25" s="79" t="s">
        <v>5</v>
      </c>
      <c r="C25" s="81" t="s">
        <v>6</v>
      </c>
      <c r="D25" s="93">
        <v>2021</v>
      </c>
      <c r="E25" s="93"/>
      <c r="F25" s="93"/>
      <c r="G25" s="93"/>
      <c r="H25" s="87">
        <v>2022</v>
      </c>
      <c r="I25" s="88"/>
      <c r="J25" s="88"/>
      <c r="K25" s="88"/>
    </row>
    <row r="26" spans="2:16" s="6" customFormat="1" ht="31.5" x14ac:dyDescent="0.25">
      <c r="B26" s="80"/>
      <c r="C26" s="82"/>
      <c r="D26" s="56" t="s">
        <v>9</v>
      </c>
      <c r="E26" s="56" t="s">
        <v>8</v>
      </c>
      <c r="F26" s="56" t="s">
        <v>24</v>
      </c>
      <c r="G26" s="56" t="s">
        <v>23</v>
      </c>
      <c r="H26" s="65" t="s">
        <v>9</v>
      </c>
      <c r="I26" s="65" t="s">
        <v>8</v>
      </c>
      <c r="J26" s="65" t="s">
        <v>24</v>
      </c>
      <c r="K26" s="65" t="s">
        <v>23</v>
      </c>
    </row>
    <row r="27" spans="2:16" s="11" customFormat="1" x14ac:dyDescent="0.25">
      <c r="B27" s="58" t="s">
        <v>0</v>
      </c>
      <c r="C27" s="59" t="s">
        <v>1</v>
      </c>
      <c r="D27" s="66">
        <f>SUM(D28:D36)</f>
        <v>34233136000</v>
      </c>
      <c r="E27" s="66">
        <f>SUM(E28:E36)</f>
        <v>31513387350</v>
      </c>
      <c r="F27" s="69">
        <f>E27-D27</f>
        <v>-2719748650</v>
      </c>
      <c r="G27" s="68">
        <f>E27/D27</f>
        <v>0.92055216180019261</v>
      </c>
      <c r="H27" s="66">
        <f>SUM(H28:H36)</f>
        <v>40736775000</v>
      </c>
      <c r="I27" s="66">
        <f>SUM(I28:I36)</f>
        <v>34827238500</v>
      </c>
      <c r="J27" s="69">
        <f>I27-H27</f>
        <v>-5909536500</v>
      </c>
      <c r="K27" s="68">
        <f>I27/H27</f>
        <v>0.85493361956119507</v>
      </c>
    </row>
    <row r="28" spans="2:16" ht="63" x14ac:dyDescent="0.25">
      <c r="B28" s="58">
        <v>2132</v>
      </c>
      <c r="C28" s="59" t="s">
        <v>13</v>
      </c>
      <c r="D28" s="4"/>
      <c r="E28" s="4"/>
      <c r="F28" s="4"/>
      <c r="G28" s="4"/>
      <c r="H28" s="4"/>
      <c r="I28" s="4"/>
      <c r="J28" s="4"/>
      <c r="K28" s="4"/>
    </row>
    <row r="29" spans="2:16" x14ac:dyDescent="0.25">
      <c r="B29" s="58"/>
      <c r="C29" s="59"/>
      <c r="D29" s="4"/>
      <c r="E29" s="4"/>
      <c r="F29" s="4"/>
      <c r="G29" s="4"/>
      <c r="H29" s="4"/>
      <c r="I29" s="4"/>
      <c r="J29" s="4"/>
      <c r="K29" s="4"/>
    </row>
    <row r="30" spans="2:16" ht="31.5" x14ac:dyDescent="0.25">
      <c r="B30" s="58">
        <v>425131</v>
      </c>
      <c r="C30" s="59" t="s">
        <v>14</v>
      </c>
      <c r="D30" s="4"/>
      <c r="E30" s="4"/>
      <c r="F30" s="4"/>
      <c r="G30" s="4"/>
      <c r="H30" s="4">
        <v>68000000</v>
      </c>
      <c r="I30" s="4">
        <v>20982000</v>
      </c>
      <c r="J30" s="4"/>
      <c r="K30" s="4"/>
    </row>
    <row r="31" spans="2:16" x14ac:dyDescent="0.25">
      <c r="B31" s="58"/>
      <c r="C31" s="59"/>
      <c r="D31" s="4"/>
      <c r="E31" s="4"/>
      <c r="F31" s="4"/>
      <c r="G31" s="4"/>
      <c r="H31" s="4"/>
      <c r="I31" s="4"/>
      <c r="J31" s="4"/>
      <c r="K31" s="4"/>
    </row>
    <row r="32" spans="2:16" ht="31.5" x14ac:dyDescent="0.25">
      <c r="B32" s="58">
        <v>425411</v>
      </c>
      <c r="C32" s="59" t="s">
        <v>2</v>
      </c>
      <c r="D32" s="4">
        <v>541711000</v>
      </c>
      <c r="E32" s="4">
        <v>110350000</v>
      </c>
      <c r="F32" s="4"/>
      <c r="G32" s="4"/>
      <c r="H32" s="4">
        <v>825000000</v>
      </c>
      <c r="I32" s="4">
        <v>94550000</v>
      </c>
      <c r="J32" s="4"/>
      <c r="K32" s="4"/>
    </row>
    <row r="33" spans="2:14" x14ac:dyDescent="0.25">
      <c r="B33" s="58"/>
      <c r="C33" s="59"/>
      <c r="D33" s="4"/>
      <c r="E33" s="4"/>
      <c r="F33" s="4"/>
      <c r="G33" s="4"/>
      <c r="H33" s="4"/>
      <c r="I33" s="4"/>
      <c r="J33" s="4"/>
      <c r="K33" s="4"/>
    </row>
    <row r="34" spans="2:14" ht="31.5" x14ac:dyDescent="0.25">
      <c r="B34" s="58">
        <v>425412</v>
      </c>
      <c r="C34" s="59" t="s">
        <v>3</v>
      </c>
      <c r="D34" s="4">
        <v>33566425000</v>
      </c>
      <c r="E34" s="4">
        <v>31403037350</v>
      </c>
      <c r="F34" s="4"/>
      <c r="G34" s="4"/>
      <c r="H34" s="4">
        <v>39618775000</v>
      </c>
      <c r="I34" s="4">
        <v>34711706500</v>
      </c>
      <c r="J34" s="4"/>
      <c r="K34" s="4"/>
    </row>
    <row r="35" spans="2:14" x14ac:dyDescent="0.25">
      <c r="B35" s="58"/>
      <c r="C35" s="59"/>
      <c r="D35" s="4"/>
      <c r="E35" s="4"/>
      <c r="F35" s="4"/>
      <c r="G35" s="4"/>
      <c r="H35" s="4"/>
      <c r="I35" s="4"/>
      <c r="J35" s="4"/>
      <c r="K35" s="4"/>
    </row>
    <row r="36" spans="2:14" ht="31.5" x14ac:dyDescent="0.25">
      <c r="B36" s="58">
        <v>425419</v>
      </c>
      <c r="C36" s="59" t="s">
        <v>4</v>
      </c>
      <c r="D36" s="4">
        <v>125000000</v>
      </c>
      <c r="E36" s="4"/>
      <c r="F36" s="4"/>
      <c r="G36" s="4"/>
      <c r="H36" s="4">
        <v>225000000</v>
      </c>
      <c r="I36" s="4"/>
      <c r="J36" s="4"/>
      <c r="K36" s="4"/>
    </row>
    <row r="40" spans="2:14" x14ac:dyDescent="0.25">
      <c r="B40" s="78" t="s">
        <v>10</v>
      </c>
      <c r="C40" s="78"/>
      <c r="D40" s="78"/>
      <c r="E40" s="78"/>
      <c r="F40" s="78"/>
      <c r="G40" s="78"/>
      <c r="H40" s="78"/>
      <c r="I40" s="78"/>
      <c r="J40" s="78"/>
      <c r="K40" s="78"/>
      <c r="L40" s="11"/>
      <c r="M40" s="11"/>
      <c r="N40" s="11"/>
    </row>
    <row r="41" spans="2:14" x14ac:dyDescent="0.25">
      <c r="B41" s="78" t="s">
        <v>11</v>
      </c>
      <c r="C41" s="78"/>
      <c r="D41" s="78"/>
      <c r="E41" s="78"/>
      <c r="F41" s="78"/>
      <c r="G41" s="78"/>
      <c r="H41" s="78"/>
      <c r="I41" s="78"/>
      <c r="J41" s="78"/>
      <c r="K41" s="78"/>
      <c r="L41" s="11"/>
      <c r="M41" s="11"/>
      <c r="N41" s="11"/>
    </row>
    <row r="42" spans="2:14" x14ac:dyDescent="0.25">
      <c r="B42" s="78" t="s">
        <v>12</v>
      </c>
      <c r="C42" s="78"/>
      <c r="D42" s="78"/>
      <c r="E42" s="78"/>
      <c r="F42" s="78"/>
      <c r="G42" s="78"/>
      <c r="H42" s="78"/>
      <c r="I42" s="78"/>
      <c r="J42" s="78"/>
      <c r="K42" s="78"/>
      <c r="L42" s="11"/>
      <c r="M42" s="11"/>
      <c r="N42" s="11"/>
    </row>
    <row r="45" spans="2:14" x14ac:dyDescent="0.2">
      <c r="B45" s="79" t="s">
        <v>5</v>
      </c>
      <c r="C45" s="81" t="s">
        <v>6</v>
      </c>
      <c r="D45" s="89">
        <v>2023</v>
      </c>
      <c r="E45" s="90"/>
      <c r="F45" s="90"/>
      <c r="G45" s="90"/>
      <c r="H45" s="91">
        <v>2024</v>
      </c>
      <c r="I45" s="92"/>
      <c r="J45" s="92"/>
      <c r="K45" s="92"/>
    </row>
    <row r="46" spans="2:14" ht="31.5" x14ac:dyDescent="0.2">
      <c r="B46" s="80"/>
      <c r="C46" s="82"/>
      <c r="D46" s="57" t="s">
        <v>9</v>
      </c>
      <c r="E46" s="57" t="s">
        <v>8</v>
      </c>
      <c r="F46" s="57" t="s">
        <v>24</v>
      </c>
      <c r="G46" s="57" t="s">
        <v>23</v>
      </c>
      <c r="H46" s="55" t="s">
        <v>9</v>
      </c>
      <c r="I46" s="55" t="s">
        <v>8</v>
      </c>
      <c r="J46" s="55" t="s">
        <v>24</v>
      </c>
      <c r="K46" s="55" t="s">
        <v>23</v>
      </c>
    </row>
    <row r="47" spans="2:14" s="11" customFormat="1" x14ac:dyDescent="0.25">
      <c r="B47" s="58" t="s">
        <v>0</v>
      </c>
      <c r="C47" s="59" t="s">
        <v>1</v>
      </c>
      <c r="D47" s="66">
        <f>SUM(D48:D56)</f>
        <v>45468750000</v>
      </c>
      <c r="E47" s="66">
        <f>SUM(E48:E56)</f>
        <v>36448691000</v>
      </c>
      <c r="F47" s="69">
        <f>E47-D47</f>
        <v>-9020059000</v>
      </c>
      <c r="G47" s="68">
        <f>E47/D47</f>
        <v>0.80162069553264603</v>
      </c>
      <c r="H47" s="66">
        <f>SUM(H48:H56)</f>
        <v>46394224000</v>
      </c>
      <c r="I47" s="66">
        <f>SUM(I48:I56)</f>
        <v>37829080500</v>
      </c>
      <c r="J47" s="69">
        <f>I47-H47</f>
        <v>-8565143500</v>
      </c>
      <c r="K47" s="68">
        <f>I47/H47</f>
        <v>0.81538340850361024</v>
      </c>
      <c r="M47" s="63"/>
    </row>
    <row r="48" spans="2:14" ht="63" x14ac:dyDescent="0.25">
      <c r="B48" s="58">
        <v>2132</v>
      </c>
      <c r="C48" s="59" t="s">
        <v>13</v>
      </c>
      <c r="D48" s="71"/>
      <c r="E48" s="71"/>
      <c r="F48" s="71"/>
      <c r="G48" s="71"/>
      <c r="H48" s="4"/>
      <c r="I48" s="71"/>
      <c r="J48" s="71"/>
      <c r="K48" s="71"/>
      <c r="M48" s="12"/>
    </row>
    <row r="49" spans="2:14" x14ac:dyDescent="0.25">
      <c r="B49" s="58"/>
      <c r="C49" s="59"/>
      <c r="D49" s="4"/>
      <c r="E49" s="4"/>
      <c r="F49" s="4"/>
      <c r="G49" s="4"/>
      <c r="H49" s="4"/>
      <c r="I49" s="4"/>
      <c r="J49" s="4"/>
      <c r="K49" s="4"/>
    </row>
    <row r="50" spans="2:14" ht="31.5" x14ac:dyDescent="0.25">
      <c r="B50" s="58">
        <v>425131</v>
      </c>
      <c r="C50" s="59" t="s">
        <v>14</v>
      </c>
      <c r="D50" s="4"/>
      <c r="E50" s="4">
        <v>97132000</v>
      </c>
      <c r="F50" s="4"/>
      <c r="G50" s="4"/>
      <c r="H50" s="4">
        <v>110000000</v>
      </c>
      <c r="I50" s="4">
        <v>52357500</v>
      </c>
      <c r="J50" s="4"/>
      <c r="K50" s="4"/>
    </row>
    <row r="51" spans="2:14" x14ac:dyDescent="0.25">
      <c r="B51" s="58"/>
      <c r="C51" s="59"/>
      <c r="D51" s="4"/>
      <c r="E51" s="4"/>
      <c r="F51" s="4"/>
      <c r="G51" s="4"/>
      <c r="H51" s="4"/>
      <c r="I51" s="4"/>
      <c r="J51" s="4"/>
      <c r="K51" s="4"/>
    </row>
    <row r="52" spans="2:14" ht="31.5" x14ac:dyDescent="0.25">
      <c r="B52" s="58">
        <v>425411</v>
      </c>
      <c r="C52" s="59" t="s">
        <v>2</v>
      </c>
      <c r="D52" s="4">
        <v>173750000</v>
      </c>
      <c r="E52" s="4">
        <v>113900000</v>
      </c>
      <c r="F52" s="4"/>
      <c r="G52" s="4"/>
      <c r="H52" s="4">
        <v>130000000</v>
      </c>
      <c r="I52" s="4">
        <v>85250000</v>
      </c>
      <c r="J52" s="4"/>
      <c r="K52" s="4"/>
    </row>
    <row r="53" spans="2:14" s="6" customFormat="1" x14ac:dyDescent="0.25">
      <c r="B53" s="58"/>
      <c r="C53" s="59"/>
      <c r="D53" s="4"/>
      <c r="E53" s="4"/>
      <c r="F53" s="4"/>
      <c r="G53" s="4"/>
      <c r="H53" s="4"/>
      <c r="I53" s="4"/>
      <c r="J53" s="4"/>
      <c r="K53" s="4"/>
    </row>
    <row r="54" spans="2:14" s="6" customFormat="1" ht="31.5" x14ac:dyDescent="0.25">
      <c r="B54" s="58">
        <v>425412</v>
      </c>
      <c r="C54" s="59" t="s">
        <v>3</v>
      </c>
      <c r="D54" s="4">
        <v>45273400000</v>
      </c>
      <c r="E54" s="4">
        <v>36237659000</v>
      </c>
      <c r="F54" s="4"/>
      <c r="G54" s="4"/>
      <c r="H54" s="4">
        <v>46150000000</v>
      </c>
      <c r="I54" s="4">
        <v>37691473000</v>
      </c>
      <c r="J54" s="4"/>
      <c r="K54" s="4"/>
      <c r="M54" s="10"/>
    </row>
    <row r="55" spans="2:14" x14ac:dyDescent="0.25">
      <c r="B55" s="58"/>
      <c r="C55" s="59"/>
      <c r="D55" s="4"/>
      <c r="E55" s="4"/>
      <c r="F55" s="4"/>
      <c r="G55" s="4"/>
      <c r="H55" s="4"/>
      <c r="I55" s="4"/>
      <c r="J55" s="4"/>
      <c r="K55" s="4"/>
    </row>
    <row r="56" spans="2:14" ht="31.5" x14ac:dyDescent="0.25">
      <c r="B56" s="58">
        <v>425419</v>
      </c>
      <c r="C56" s="59" t="s">
        <v>4</v>
      </c>
      <c r="D56" s="4">
        <v>21600000</v>
      </c>
      <c r="E56" s="4"/>
      <c r="F56" s="4"/>
      <c r="G56" s="4"/>
      <c r="H56" s="4">
        <v>4224000</v>
      </c>
      <c r="I56" s="4"/>
      <c r="J56" s="4"/>
      <c r="K56" s="4"/>
    </row>
    <row r="57" spans="2:14" x14ac:dyDescent="0.25">
      <c r="B57" s="11"/>
      <c r="C57" s="11"/>
      <c r="D57" s="2"/>
      <c r="E57" s="73"/>
      <c r="F57" s="73"/>
      <c r="G57" s="73"/>
    </row>
    <row r="58" spans="2:14" x14ac:dyDescent="0.25">
      <c r="B58" s="11"/>
      <c r="C58" s="11"/>
      <c r="D58" s="2"/>
      <c r="E58" s="2"/>
      <c r="F58" s="2"/>
      <c r="G58" s="2"/>
    </row>
    <row r="59" spans="2:14" x14ac:dyDescent="0.25">
      <c r="B59" s="78" t="s">
        <v>10</v>
      </c>
      <c r="C59" s="78"/>
      <c r="D59" s="78"/>
      <c r="E59" s="78"/>
      <c r="F59" s="78"/>
      <c r="G59" s="78"/>
      <c r="H59" s="78"/>
      <c r="I59" s="78"/>
      <c r="J59" s="78"/>
      <c r="K59" s="78"/>
      <c r="L59" s="11"/>
      <c r="M59" s="11"/>
      <c r="N59" s="11"/>
    </row>
    <row r="60" spans="2:14" x14ac:dyDescent="0.25">
      <c r="B60" s="78" t="s">
        <v>11</v>
      </c>
      <c r="C60" s="78"/>
      <c r="D60" s="78"/>
      <c r="E60" s="78"/>
      <c r="F60" s="78"/>
      <c r="G60" s="78"/>
      <c r="H60" s="78"/>
      <c r="I60" s="78"/>
      <c r="J60" s="78"/>
      <c r="K60" s="78"/>
      <c r="L60" s="11"/>
      <c r="M60" s="11"/>
      <c r="N60" s="11"/>
    </row>
    <row r="61" spans="2:14" x14ac:dyDescent="0.25">
      <c r="B61" s="78" t="s">
        <v>12</v>
      </c>
      <c r="C61" s="78"/>
      <c r="D61" s="78"/>
      <c r="E61" s="78"/>
      <c r="F61" s="78"/>
      <c r="G61" s="78"/>
      <c r="H61" s="78"/>
      <c r="I61" s="78"/>
      <c r="J61" s="78"/>
      <c r="K61" s="78"/>
      <c r="L61" s="11"/>
      <c r="M61" s="11"/>
      <c r="N61" s="11"/>
    </row>
    <row r="62" spans="2:14" x14ac:dyDescent="0.25">
      <c r="B62" s="11"/>
      <c r="C62" s="11"/>
      <c r="D62" s="2"/>
      <c r="E62" s="2"/>
      <c r="F62" s="2"/>
      <c r="G62" s="2"/>
    </row>
    <row r="63" spans="2:14" x14ac:dyDescent="0.25">
      <c r="B63" s="11"/>
      <c r="C63" s="11"/>
      <c r="D63" s="2"/>
      <c r="E63" s="2"/>
      <c r="F63" s="2"/>
      <c r="G63" s="2"/>
    </row>
    <row r="64" spans="2:14" x14ac:dyDescent="0.2">
      <c r="B64" s="79" t="s">
        <v>5</v>
      </c>
      <c r="C64" s="81" t="s">
        <v>6</v>
      </c>
      <c r="D64" s="85">
        <v>2025</v>
      </c>
      <c r="E64" s="86"/>
      <c r="F64" s="86"/>
      <c r="G64" s="86"/>
      <c r="H64" s="87">
        <v>2026</v>
      </c>
      <c r="I64" s="88"/>
      <c r="J64" s="88"/>
      <c r="K64" s="88"/>
    </row>
    <row r="65" spans="2:14" ht="31.5" x14ac:dyDescent="0.2">
      <c r="B65" s="80"/>
      <c r="C65" s="82"/>
      <c r="D65" s="56" t="s">
        <v>9</v>
      </c>
      <c r="E65" s="56" t="s">
        <v>8</v>
      </c>
      <c r="F65" s="56" t="s">
        <v>24</v>
      </c>
      <c r="G65" s="56" t="s">
        <v>23</v>
      </c>
      <c r="H65" s="65" t="s">
        <v>9</v>
      </c>
      <c r="I65" s="65" t="s">
        <v>8</v>
      </c>
      <c r="J65" s="65" t="s">
        <v>24</v>
      </c>
      <c r="K65" s="65" t="s">
        <v>23</v>
      </c>
    </row>
    <row r="66" spans="2:14" s="11" customFormat="1" x14ac:dyDescent="0.25">
      <c r="B66" s="58" t="s">
        <v>0</v>
      </c>
      <c r="C66" s="59" t="s">
        <v>1</v>
      </c>
      <c r="D66" s="66">
        <f>SUM(D67:D75)</f>
        <v>46994400000</v>
      </c>
      <c r="E66" s="66">
        <f>SUM(E67:E75)</f>
        <v>38624678750</v>
      </c>
      <c r="F66" s="69">
        <f>E66-D66</f>
        <v>-8369721250</v>
      </c>
      <c r="G66" s="68">
        <f>E66/D66</f>
        <v>0.82189960399536965</v>
      </c>
      <c r="H66" s="64">
        <f>SUM(H67:H75)</f>
        <v>38670350000</v>
      </c>
      <c r="I66" s="66"/>
      <c r="J66" s="66"/>
      <c r="K66" s="66"/>
    </row>
    <row r="67" spans="2:14" ht="63" x14ac:dyDescent="0.25">
      <c r="B67" s="58">
        <v>2132</v>
      </c>
      <c r="C67" s="59" t="s">
        <v>13</v>
      </c>
      <c r="D67" s="71"/>
      <c r="E67" s="71"/>
      <c r="F67" s="71"/>
      <c r="G67" s="71"/>
      <c r="H67" s="19"/>
      <c r="I67" s="71"/>
      <c r="J67" s="71"/>
      <c r="K67" s="71"/>
    </row>
    <row r="68" spans="2:14" x14ac:dyDescent="0.25">
      <c r="B68" s="58"/>
      <c r="C68" s="59"/>
      <c r="D68" s="4"/>
      <c r="E68" s="4"/>
      <c r="F68" s="4"/>
      <c r="G68" s="4"/>
      <c r="H68" s="19"/>
      <c r="I68" s="4"/>
      <c r="J68" s="4"/>
      <c r="K68" s="4"/>
    </row>
    <row r="69" spans="2:14" ht="31.5" x14ac:dyDescent="0.25">
      <c r="B69" s="58">
        <v>425131</v>
      </c>
      <c r="C69" s="59" t="s">
        <v>14</v>
      </c>
      <c r="D69" s="4">
        <v>110000000</v>
      </c>
      <c r="E69" s="4">
        <v>64019750</v>
      </c>
      <c r="F69" s="4"/>
      <c r="G69" s="4"/>
      <c r="H69" s="19">
        <v>75000000</v>
      </c>
      <c r="I69" s="4"/>
      <c r="J69" s="4"/>
      <c r="K69" s="4"/>
    </row>
    <row r="70" spans="2:14" x14ac:dyDescent="0.25">
      <c r="B70" s="58"/>
      <c r="C70" s="59"/>
      <c r="D70" s="4"/>
      <c r="E70" s="4"/>
      <c r="F70" s="4"/>
      <c r="G70" s="4"/>
      <c r="H70" s="19"/>
      <c r="I70" s="4"/>
      <c r="J70" s="4"/>
      <c r="K70" s="4"/>
    </row>
    <row r="71" spans="2:14" ht="31.5" x14ac:dyDescent="0.25">
      <c r="B71" s="58">
        <v>425411</v>
      </c>
      <c r="C71" s="59" t="s">
        <v>2</v>
      </c>
      <c r="D71" s="4">
        <v>130000000</v>
      </c>
      <c r="E71" s="4">
        <v>102400000</v>
      </c>
      <c r="F71" s="4"/>
      <c r="G71" s="4"/>
      <c r="H71" s="19">
        <v>90000000</v>
      </c>
      <c r="I71" s="4"/>
      <c r="J71" s="4"/>
      <c r="K71" s="4"/>
    </row>
    <row r="72" spans="2:14" x14ac:dyDescent="0.25">
      <c r="B72" s="58"/>
      <c r="C72" s="59"/>
      <c r="D72" s="4"/>
      <c r="E72" s="4"/>
      <c r="F72" s="4"/>
      <c r="G72" s="4"/>
      <c r="H72" s="19"/>
      <c r="I72" s="4"/>
      <c r="J72" s="4"/>
      <c r="K72" s="4"/>
    </row>
    <row r="73" spans="2:14" ht="31.5" x14ac:dyDescent="0.25">
      <c r="B73" s="58">
        <v>425412</v>
      </c>
      <c r="C73" s="59" t="s">
        <v>3</v>
      </c>
      <c r="D73" s="4">
        <f>H54+(1.3%*H54)</f>
        <v>46749950000</v>
      </c>
      <c r="E73" s="4">
        <v>38458259000</v>
      </c>
      <c r="F73" s="4"/>
      <c r="G73" s="4"/>
      <c r="H73" s="19">
        <v>38500000000</v>
      </c>
      <c r="I73" s="4"/>
      <c r="J73" s="4"/>
      <c r="K73" s="4"/>
    </row>
    <row r="74" spans="2:14" x14ac:dyDescent="0.25">
      <c r="B74" s="58"/>
      <c r="C74" s="59"/>
      <c r="D74" s="4"/>
      <c r="E74" s="4"/>
      <c r="F74" s="4"/>
      <c r="G74" s="4"/>
      <c r="H74" s="19"/>
      <c r="I74" s="4"/>
      <c r="J74" s="4"/>
      <c r="K74" s="4"/>
    </row>
    <row r="75" spans="2:14" ht="31.5" x14ac:dyDescent="0.25">
      <c r="B75" s="58">
        <v>425419</v>
      </c>
      <c r="C75" s="59" t="s">
        <v>4</v>
      </c>
      <c r="D75" s="4">
        <v>4450000</v>
      </c>
      <c r="E75" s="4"/>
      <c r="F75" s="4"/>
      <c r="G75" s="4"/>
      <c r="H75" s="19">
        <v>5350000</v>
      </c>
      <c r="I75" s="4"/>
      <c r="J75" s="4"/>
      <c r="K75" s="4"/>
    </row>
    <row r="76" spans="2:14" x14ac:dyDescent="0.25">
      <c r="F76" s="77"/>
    </row>
    <row r="78" spans="2:14" x14ac:dyDescent="0.25">
      <c r="B78" s="78" t="s">
        <v>10</v>
      </c>
      <c r="C78" s="78"/>
      <c r="D78" s="78"/>
      <c r="E78" s="78"/>
      <c r="F78" s="78"/>
      <c r="G78" s="78"/>
      <c r="H78" s="78"/>
      <c r="I78" s="78"/>
      <c r="J78" s="78"/>
      <c r="K78" s="78"/>
      <c r="L78" s="11"/>
      <c r="M78" s="11"/>
      <c r="N78" s="11"/>
    </row>
    <row r="79" spans="2:14" x14ac:dyDescent="0.25">
      <c r="B79" s="78" t="s">
        <v>11</v>
      </c>
      <c r="C79" s="78"/>
      <c r="D79" s="78"/>
      <c r="E79" s="78"/>
      <c r="F79" s="78"/>
      <c r="G79" s="78"/>
      <c r="H79" s="78"/>
      <c r="I79" s="78"/>
      <c r="J79" s="78"/>
      <c r="K79" s="78"/>
      <c r="L79" s="11"/>
      <c r="M79" s="11"/>
      <c r="N79" s="11"/>
    </row>
    <row r="80" spans="2:14" x14ac:dyDescent="0.25">
      <c r="B80" s="78" t="s">
        <v>12</v>
      </c>
      <c r="C80" s="78"/>
      <c r="D80" s="78"/>
      <c r="E80" s="78"/>
      <c r="F80" s="78"/>
      <c r="G80" s="78"/>
      <c r="H80" s="78"/>
      <c r="I80" s="78"/>
      <c r="J80" s="78"/>
      <c r="K80" s="78"/>
      <c r="L80" s="11"/>
      <c r="M80" s="11"/>
      <c r="N80" s="11"/>
    </row>
    <row r="81" spans="2:11" x14ac:dyDescent="0.25">
      <c r="B81" s="11"/>
      <c r="C81" s="11"/>
      <c r="D81" s="2"/>
      <c r="E81" s="2"/>
      <c r="F81" s="2"/>
      <c r="G81" s="2"/>
    </row>
    <row r="82" spans="2:11" x14ac:dyDescent="0.25">
      <c r="B82" s="11"/>
      <c r="C82" s="11"/>
      <c r="D82" s="2"/>
      <c r="E82" s="2"/>
      <c r="F82" s="2"/>
      <c r="G82" s="2"/>
    </row>
    <row r="83" spans="2:11" x14ac:dyDescent="0.2">
      <c r="B83" s="79" t="s">
        <v>5</v>
      </c>
      <c r="C83" s="81" t="s">
        <v>6</v>
      </c>
      <c r="D83" s="118">
        <v>2027</v>
      </c>
      <c r="E83" s="119"/>
      <c r="F83" s="119"/>
      <c r="G83" s="119"/>
      <c r="H83" s="121">
        <v>2028</v>
      </c>
      <c r="I83" s="122"/>
      <c r="J83" s="122"/>
      <c r="K83" s="122"/>
    </row>
    <row r="84" spans="2:11" ht="31.5" x14ac:dyDescent="0.2">
      <c r="B84" s="80"/>
      <c r="C84" s="82"/>
      <c r="D84" s="120" t="s">
        <v>9</v>
      </c>
      <c r="E84" s="120" t="s">
        <v>8</v>
      </c>
      <c r="F84" s="120" t="s">
        <v>24</v>
      </c>
      <c r="G84" s="120" t="s">
        <v>23</v>
      </c>
      <c r="H84" s="123" t="s">
        <v>9</v>
      </c>
      <c r="I84" s="123" t="s">
        <v>8</v>
      </c>
      <c r="J84" s="123" t="s">
        <v>24</v>
      </c>
      <c r="K84" s="123" t="s">
        <v>23</v>
      </c>
    </row>
    <row r="85" spans="2:11" s="11" customFormat="1" x14ac:dyDescent="0.25">
      <c r="B85" s="58" t="s">
        <v>0</v>
      </c>
      <c r="C85" s="59" t="s">
        <v>1</v>
      </c>
      <c r="D85" s="75">
        <f>SUM(D86:D94)</f>
        <v>39380750000</v>
      </c>
      <c r="E85" s="75"/>
      <c r="F85" s="75"/>
      <c r="G85" s="75"/>
      <c r="H85" s="75">
        <f>SUM(H86:H94)</f>
        <v>40441250000</v>
      </c>
      <c r="I85" s="75"/>
      <c r="J85" s="75"/>
      <c r="K85" s="75"/>
    </row>
    <row r="86" spans="2:11" ht="63" x14ac:dyDescent="0.25">
      <c r="B86" s="58">
        <v>2132</v>
      </c>
      <c r="C86" s="59" t="s">
        <v>13</v>
      </c>
      <c r="D86" s="76"/>
      <c r="E86" s="76"/>
      <c r="F86" s="76"/>
      <c r="G86" s="76"/>
      <c r="H86" s="20"/>
      <c r="I86" s="20"/>
      <c r="J86" s="20"/>
      <c r="K86" s="20"/>
    </row>
    <row r="87" spans="2:11" x14ac:dyDescent="0.25">
      <c r="B87" s="58"/>
      <c r="C87" s="59"/>
      <c r="D87" s="20"/>
      <c r="E87" s="20"/>
      <c r="F87" s="20"/>
      <c r="G87" s="20"/>
      <c r="H87" s="20"/>
      <c r="I87" s="20"/>
      <c r="J87" s="20"/>
      <c r="K87" s="20"/>
    </row>
    <row r="88" spans="2:11" ht="31.5" x14ac:dyDescent="0.25">
      <c r="B88" s="58">
        <v>425131</v>
      </c>
      <c r="C88" s="59" t="s">
        <v>14</v>
      </c>
      <c r="D88" s="20">
        <v>80000000</v>
      </c>
      <c r="E88" s="20"/>
      <c r="F88" s="20"/>
      <c r="G88" s="20"/>
      <c r="H88" s="20">
        <v>85000000</v>
      </c>
      <c r="I88" s="20"/>
      <c r="J88" s="20"/>
      <c r="K88" s="20"/>
    </row>
    <row r="89" spans="2:11" x14ac:dyDescent="0.25">
      <c r="B89" s="58"/>
      <c r="C89" s="59"/>
      <c r="D89" s="20"/>
      <c r="E89" s="20"/>
      <c r="F89" s="20"/>
      <c r="G89" s="20"/>
      <c r="H89" s="20"/>
      <c r="I89" s="20"/>
      <c r="J89" s="20"/>
      <c r="K89" s="20"/>
    </row>
    <row r="90" spans="2:11" ht="31.5" x14ac:dyDescent="0.25">
      <c r="B90" s="58">
        <v>425411</v>
      </c>
      <c r="C90" s="59" t="s">
        <v>2</v>
      </c>
      <c r="D90" s="20">
        <v>95000000</v>
      </c>
      <c r="E90" s="20"/>
      <c r="F90" s="20"/>
      <c r="G90" s="20"/>
      <c r="H90" s="20">
        <v>100000000</v>
      </c>
      <c r="I90" s="20"/>
      <c r="J90" s="20"/>
      <c r="K90" s="20"/>
    </row>
    <row r="91" spans="2:11" x14ac:dyDescent="0.25">
      <c r="B91" s="58"/>
      <c r="C91" s="59"/>
      <c r="D91" s="20"/>
      <c r="E91" s="20"/>
      <c r="F91" s="20"/>
      <c r="G91" s="20"/>
      <c r="H91" s="20"/>
      <c r="I91" s="20"/>
      <c r="J91" s="20"/>
      <c r="K91" s="20"/>
    </row>
    <row r="92" spans="2:11" ht="31.5" x14ac:dyDescent="0.25">
      <c r="B92" s="58">
        <v>425412</v>
      </c>
      <c r="C92" s="59" t="s">
        <v>3</v>
      </c>
      <c r="D92" s="20">
        <v>39200000000</v>
      </c>
      <c r="E92" s="20"/>
      <c r="F92" s="20"/>
      <c r="G92" s="20"/>
      <c r="H92" s="20">
        <v>40250000000</v>
      </c>
      <c r="I92" s="20"/>
      <c r="J92" s="20"/>
      <c r="K92" s="20"/>
    </row>
    <row r="93" spans="2:11" x14ac:dyDescent="0.25">
      <c r="B93" s="58"/>
      <c r="C93" s="59"/>
      <c r="D93" s="20"/>
      <c r="E93" s="20"/>
      <c r="F93" s="20"/>
      <c r="G93" s="20"/>
      <c r="H93" s="20"/>
      <c r="I93" s="20"/>
      <c r="J93" s="20"/>
      <c r="K93" s="20"/>
    </row>
    <row r="94" spans="2:11" ht="31.5" x14ac:dyDescent="0.25">
      <c r="B94" s="58">
        <v>425419</v>
      </c>
      <c r="C94" s="59" t="s">
        <v>4</v>
      </c>
      <c r="D94" s="20">
        <v>5750000</v>
      </c>
      <c r="E94" s="20"/>
      <c r="F94" s="20"/>
      <c r="G94" s="20"/>
      <c r="H94" s="20">
        <v>6250000</v>
      </c>
      <c r="I94" s="20"/>
      <c r="J94" s="20"/>
      <c r="K94" s="20"/>
    </row>
    <row r="95" spans="2:11" x14ac:dyDescent="0.25">
      <c r="B95" s="78" t="s">
        <v>10</v>
      </c>
      <c r="C95" s="78"/>
      <c r="D95" s="78"/>
      <c r="E95" s="78"/>
      <c r="F95" s="78"/>
      <c r="G95" s="78"/>
      <c r="H95" s="78"/>
      <c r="I95" s="78"/>
      <c r="J95" s="78"/>
      <c r="K95" s="78"/>
    </row>
    <row r="96" spans="2:11" x14ac:dyDescent="0.25">
      <c r="B96" s="78" t="s">
        <v>11</v>
      </c>
      <c r="C96" s="78"/>
      <c r="D96" s="78"/>
      <c r="E96" s="78"/>
      <c r="F96" s="78"/>
      <c r="G96" s="78"/>
      <c r="H96" s="78"/>
      <c r="I96" s="78"/>
      <c r="J96" s="78"/>
      <c r="K96" s="78"/>
    </row>
    <row r="97" spans="2:11" x14ac:dyDescent="0.25">
      <c r="B97" s="78" t="s">
        <v>12</v>
      </c>
      <c r="C97" s="78"/>
      <c r="D97" s="78"/>
      <c r="E97" s="78"/>
      <c r="F97" s="78"/>
      <c r="G97" s="78"/>
      <c r="H97" s="78"/>
      <c r="I97" s="78"/>
      <c r="J97" s="78"/>
      <c r="K97" s="78"/>
    </row>
    <row r="98" spans="2:11" x14ac:dyDescent="0.25">
      <c r="B98" s="11"/>
      <c r="C98" s="11"/>
      <c r="D98" s="2"/>
      <c r="E98" s="2"/>
      <c r="F98" s="2"/>
      <c r="G98" s="2"/>
    </row>
    <row r="99" spans="2:11" x14ac:dyDescent="0.25">
      <c r="B99" s="11"/>
      <c r="C99" s="11"/>
      <c r="D99" s="2"/>
      <c r="E99" s="2"/>
      <c r="F99" s="2"/>
      <c r="G99" s="2"/>
    </row>
    <row r="100" spans="2:11" x14ac:dyDescent="0.2">
      <c r="B100" s="79" t="s">
        <v>5</v>
      </c>
      <c r="C100" s="81" t="s">
        <v>6</v>
      </c>
      <c r="D100" s="87">
        <v>2029</v>
      </c>
      <c r="E100" s="88"/>
      <c r="F100" s="88"/>
      <c r="G100" s="88"/>
      <c r="H100" s="89">
        <v>2030</v>
      </c>
      <c r="I100" s="90"/>
      <c r="J100" s="90"/>
      <c r="K100" s="90"/>
    </row>
    <row r="101" spans="2:11" ht="31.5" x14ac:dyDescent="0.2">
      <c r="B101" s="80"/>
      <c r="C101" s="82"/>
      <c r="D101" s="65" t="s">
        <v>9</v>
      </c>
      <c r="E101" s="65" t="s">
        <v>8</v>
      </c>
      <c r="F101" s="65" t="s">
        <v>24</v>
      </c>
      <c r="G101" s="65" t="s">
        <v>23</v>
      </c>
      <c r="H101" s="57" t="s">
        <v>9</v>
      </c>
      <c r="I101" s="57" t="s">
        <v>8</v>
      </c>
      <c r="J101" s="57" t="s">
        <v>24</v>
      </c>
      <c r="K101" s="57" t="s">
        <v>23</v>
      </c>
    </row>
    <row r="102" spans="2:11" x14ac:dyDescent="0.25">
      <c r="B102" s="58" t="s">
        <v>0</v>
      </c>
      <c r="C102" s="59" t="s">
        <v>1</v>
      </c>
      <c r="D102" s="75">
        <v>40961075000</v>
      </c>
      <c r="E102" s="75"/>
      <c r="F102" s="75"/>
      <c r="G102" s="75"/>
      <c r="H102" s="75">
        <v>41748950000</v>
      </c>
      <c r="I102" s="75"/>
      <c r="J102" s="75"/>
      <c r="K102" s="75"/>
    </row>
    <row r="103" spans="2:11" ht="63" x14ac:dyDescent="0.25">
      <c r="B103" s="58">
        <v>2132</v>
      </c>
      <c r="C103" s="59" t="s">
        <v>13</v>
      </c>
      <c r="D103" s="76"/>
      <c r="E103" s="76"/>
      <c r="F103" s="76"/>
      <c r="G103" s="76"/>
      <c r="H103" s="20"/>
      <c r="I103" s="20"/>
      <c r="J103" s="20"/>
      <c r="K103" s="20"/>
    </row>
    <row r="104" spans="2:11" x14ac:dyDescent="0.25">
      <c r="B104" s="58"/>
      <c r="C104" s="59"/>
      <c r="D104" s="20"/>
      <c r="E104" s="20"/>
      <c r="F104" s="20"/>
      <c r="G104" s="20"/>
      <c r="H104" s="20"/>
      <c r="I104" s="20"/>
      <c r="J104" s="20"/>
      <c r="K104" s="20"/>
    </row>
    <row r="105" spans="2:11" ht="31.5" x14ac:dyDescent="0.25">
      <c r="B105" s="58">
        <v>425131</v>
      </c>
      <c r="C105" s="59" t="s">
        <v>14</v>
      </c>
      <c r="D105" s="20">
        <v>95000000</v>
      </c>
      <c r="E105" s="20"/>
      <c r="F105" s="20"/>
      <c r="G105" s="20"/>
      <c r="H105" s="20">
        <v>130000000</v>
      </c>
      <c r="I105" s="20"/>
      <c r="J105" s="20"/>
      <c r="K105" s="20"/>
    </row>
    <row r="106" spans="2:11" x14ac:dyDescent="0.25">
      <c r="B106" s="58"/>
      <c r="C106" s="59"/>
      <c r="D106" s="20"/>
      <c r="E106" s="20"/>
      <c r="F106" s="20"/>
      <c r="G106" s="20"/>
      <c r="H106" s="20"/>
      <c r="I106" s="20"/>
      <c r="J106" s="20"/>
      <c r="K106" s="20"/>
    </row>
    <row r="107" spans="2:11" ht="31.5" x14ac:dyDescent="0.25">
      <c r="B107" s="58">
        <v>425411</v>
      </c>
      <c r="C107" s="59" t="s">
        <v>2</v>
      </c>
      <c r="D107" s="20">
        <v>110000000</v>
      </c>
      <c r="E107" s="20"/>
      <c r="F107" s="20"/>
      <c r="G107" s="20"/>
      <c r="H107" s="20">
        <v>115000000</v>
      </c>
      <c r="I107" s="20"/>
      <c r="J107" s="20"/>
      <c r="K107" s="20"/>
    </row>
    <row r="108" spans="2:11" x14ac:dyDescent="0.25">
      <c r="B108" s="58"/>
      <c r="C108" s="59"/>
      <c r="D108" s="20"/>
      <c r="E108" s="20"/>
      <c r="F108" s="20"/>
      <c r="G108" s="20"/>
      <c r="H108" s="20"/>
      <c r="I108" s="20"/>
      <c r="J108" s="20"/>
      <c r="K108" s="20"/>
    </row>
    <row r="109" spans="2:11" ht="31.5" x14ac:dyDescent="0.25">
      <c r="B109" s="58">
        <v>425412</v>
      </c>
      <c r="C109" s="59" t="s">
        <v>3</v>
      </c>
      <c r="D109" s="20">
        <v>40750000000</v>
      </c>
      <c r="E109" s="20"/>
      <c r="F109" s="20"/>
      <c r="G109" s="20"/>
      <c r="H109" s="20">
        <v>41500000000</v>
      </c>
      <c r="I109" s="20"/>
      <c r="J109" s="20"/>
      <c r="K109" s="20"/>
    </row>
    <row r="110" spans="2:11" x14ac:dyDescent="0.25">
      <c r="B110" s="58"/>
      <c r="C110" s="59"/>
      <c r="D110" s="20"/>
      <c r="E110" s="20"/>
      <c r="F110" s="20"/>
      <c r="G110" s="20"/>
      <c r="H110" s="20"/>
      <c r="I110" s="20"/>
      <c r="J110" s="20"/>
      <c r="K110" s="20"/>
    </row>
    <row r="111" spans="2:11" ht="31.5" x14ac:dyDescent="0.25">
      <c r="B111" s="58">
        <v>425419</v>
      </c>
      <c r="C111" s="59" t="s">
        <v>4</v>
      </c>
      <c r="D111" s="20">
        <v>6075000</v>
      </c>
      <c r="E111" s="20"/>
      <c r="F111" s="20"/>
      <c r="G111" s="20"/>
      <c r="H111" s="20">
        <v>3950000</v>
      </c>
      <c r="I111" s="20"/>
      <c r="J111" s="20"/>
      <c r="K111" s="20"/>
    </row>
  </sheetData>
  <mergeCells count="42">
    <mergeCell ref="B95:K95"/>
    <mergeCell ref="B96:K96"/>
    <mergeCell ref="B97:K97"/>
    <mergeCell ref="B100:B101"/>
    <mergeCell ref="C100:C101"/>
    <mergeCell ref="D100:G100"/>
    <mergeCell ref="H100:K100"/>
    <mergeCell ref="B1:K1"/>
    <mergeCell ref="B2:K2"/>
    <mergeCell ref="B3:K3"/>
    <mergeCell ref="B6:B7"/>
    <mergeCell ref="C6:C7"/>
    <mergeCell ref="D6:G6"/>
    <mergeCell ref="H6:K6"/>
    <mergeCell ref="B20:K20"/>
    <mergeCell ref="B21:K21"/>
    <mergeCell ref="B22:K22"/>
    <mergeCell ref="B25:B26"/>
    <mergeCell ref="C25:C26"/>
    <mergeCell ref="D25:G25"/>
    <mergeCell ref="H25:K25"/>
    <mergeCell ref="B40:K40"/>
    <mergeCell ref="B41:K41"/>
    <mergeCell ref="B42:K42"/>
    <mergeCell ref="B45:B46"/>
    <mergeCell ref="C45:C46"/>
    <mergeCell ref="D45:G45"/>
    <mergeCell ref="H45:K45"/>
    <mergeCell ref="B59:K59"/>
    <mergeCell ref="B60:K60"/>
    <mergeCell ref="B61:K61"/>
    <mergeCell ref="B64:B65"/>
    <mergeCell ref="C64:C65"/>
    <mergeCell ref="D64:G64"/>
    <mergeCell ref="H64:K64"/>
    <mergeCell ref="B78:K78"/>
    <mergeCell ref="B79:K79"/>
    <mergeCell ref="B80:K80"/>
    <mergeCell ref="B83:B84"/>
    <mergeCell ref="C83:C84"/>
    <mergeCell ref="D83:G83"/>
    <mergeCell ref="H83:K83"/>
  </mergeCells>
  <pageMargins left="0.11811023622047245" right="0" top="0.55118110236220474" bottom="0.15748031496062992" header="0.31496062992125984" footer="0.31496062992125984"/>
  <pageSetup paperSize="9" scale="65" orientation="landscape" r:id="rId1"/>
  <rowBreaks count="2" manualBreakCount="2">
    <brk id="38" max="10" man="1"/>
    <brk id="76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5"/>
  <sheetViews>
    <sheetView view="pageBreakPreview" zoomScaleNormal="80" zoomScaleSheetLayoutView="100" workbookViewId="0">
      <selection activeCell="E73" sqref="E73"/>
    </sheetView>
  </sheetViews>
  <sheetFormatPr defaultColWidth="9.140625" defaultRowHeight="15.75" x14ac:dyDescent="0.25"/>
  <cols>
    <col min="1" max="1" width="5.42578125" style="3" customWidth="1"/>
    <col min="2" max="2" width="12.85546875" style="53" customWidth="1"/>
    <col min="3" max="3" width="34.28515625" style="62" customWidth="1"/>
    <col min="4" max="4" width="18.85546875" style="1" bestFit="1" customWidth="1"/>
    <col min="5" max="5" width="18.42578125" style="1" customWidth="1"/>
    <col min="6" max="6" width="17.7109375" style="1" bestFit="1" customWidth="1"/>
    <col min="7" max="7" width="10.5703125" style="1" bestFit="1" customWidth="1"/>
    <col min="8" max="8" width="18.85546875" style="1" customWidth="1"/>
    <col min="9" max="9" width="18.85546875" style="2" bestFit="1" customWidth="1"/>
    <col min="10" max="10" width="19.42578125" style="2" customWidth="1"/>
    <col min="11" max="11" width="17.7109375" style="2" bestFit="1" customWidth="1"/>
    <col min="12" max="12" width="9.28515625" style="2" bestFit="1" customWidth="1"/>
    <col min="13" max="13" width="19.28515625" style="2" customWidth="1"/>
    <col min="14" max="14" width="18.85546875" style="3" bestFit="1" customWidth="1"/>
    <col min="15" max="16" width="18.85546875" style="3" customWidth="1"/>
    <col min="17" max="17" width="18.85546875" style="3" bestFit="1" customWidth="1"/>
    <col min="18" max="19" width="18.85546875" style="3" customWidth="1"/>
    <col min="20" max="20" width="18.85546875" style="3" bestFit="1" customWidth="1"/>
    <col min="21" max="22" width="18.85546875" style="3" customWidth="1"/>
    <col min="23" max="23" width="18.85546875" style="3" bestFit="1" customWidth="1"/>
    <col min="24" max="25" width="18.85546875" style="3" customWidth="1"/>
    <col min="26" max="16384" width="9.140625" style="3"/>
  </cols>
  <sheetData>
    <row r="1" spans="2:16" x14ac:dyDescent="0.25">
      <c r="B1" s="78" t="s">
        <v>10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11"/>
      <c r="O1" s="11"/>
      <c r="P1" s="11"/>
    </row>
    <row r="2" spans="2:16" x14ac:dyDescent="0.25">
      <c r="B2" s="78" t="s">
        <v>11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11"/>
      <c r="O2" s="11"/>
      <c r="P2" s="11"/>
    </row>
    <row r="3" spans="2:16" x14ac:dyDescent="0.25">
      <c r="B3" s="78" t="s">
        <v>12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11"/>
      <c r="O3" s="11"/>
      <c r="P3" s="11"/>
    </row>
    <row r="4" spans="2:16" x14ac:dyDescent="0.25">
      <c r="B4" s="11"/>
      <c r="C4" s="11"/>
      <c r="D4" s="2"/>
      <c r="E4" s="2"/>
      <c r="F4" s="2"/>
      <c r="G4" s="2"/>
      <c r="H4" s="2"/>
    </row>
    <row r="6" spans="2:16" s="5" customFormat="1" x14ac:dyDescent="0.25">
      <c r="B6" s="79" t="s">
        <v>5</v>
      </c>
      <c r="C6" s="81" t="s">
        <v>6</v>
      </c>
      <c r="D6" s="89">
        <v>2019</v>
      </c>
      <c r="E6" s="90"/>
      <c r="F6" s="90"/>
      <c r="G6" s="90"/>
      <c r="H6" s="95"/>
      <c r="I6" s="91">
        <v>2020</v>
      </c>
      <c r="J6" s="92"/>
      <c r="K6" s="92"/>
      <c r="L6" s="92"/>
      <c r="M6" s="94"/>
    </row>
    <row r="7" spans="2:16" s="5" customFormat="1" ht="31.5" x14ac:dyDescent="0.25">
      <c r="B7" s="80"/>
      <c r="C7" s="82"/>
      <c r="D7" s="57" t="s">
        <v>9</v>
      </c>
      <c r="E7" s="57" t="s">
        <v>8</v>
      </c>
      <c r="F7" s="57" t="s">
        <v>24</v>
      </c>
      <c r="G7" s="57" t="s">
        <v>23</v>
      </c>
      <c r="H7" s="57" t="s">
        <v>7</v>
      </c>
      <c r="I7" s="55" t="s">
        <v>9</v>
      </c>
      <c r="J7" s="55" t="s">
        <v>8</v>
      </c>
      <c r="K7" s="55" t="s">
        <v>24</v>
      </c>
      <c r="L7" s="55" t="s">
        <v>23</v>
      </c>
      <c r="M7" s="55" t="s">
        <v>7</v>
      </c>
    </row>
    <row r="8" spans="2:16" s="11" customFormat="1" x14ac:dyDescent="0.25">
      <c r="B8" s="58" t="s">
        <v>0</v>
      </c>
      <c r="C8" s="59" t="s">
        <v>1</v>
      </c>
      <c r="D8" s="66">
        <f t="shared" ref="D8:E8" si="0">SUM(D9:D17)</f>
        <v>23739397500</v>
      </c>
      <c r="E8" s="66">
        <f t="shared" si="0"/>
        <v>23841997500</v>
      </c>
      <c r="F8" s="67">
        <f>E8-D8</f>
        <v>102600000</v>
      </c>
      <c r="G8" s="68">
        <f>E8/D8</f>
        <v>1.0043219294002723</v>
      </c>
      <c r="H8" s="66">
        <v>22520224877</v>
      </c>
      <c r="I8" s="66">
        <f t="shared" ref="I8:J8" si="1">SUM(I9:I17)</f>
        <v>29016054000</v>
      </c>
      <c r="J8" s="66">
        <f t="shared" si="1"/>
        <v>28777122500</v>
      </c>
      <c r="K8" s="69">
        <f>J8-I8</f>
        <v>-238931500</v>
      </c>
      <c r="L8" s="68">
        <f>J8/I8</f>
        <v>0.9917655412414107</v>
      </c>
      <c r="M8" s="66">
        <v>28029454791</v>
      </c>
    </row>
    <row r="9" spans="2:16" ht="63" x14ac:dyDescent="0.25">
      <c r="B9" s="58">
        <v>2132</v>
      </c>
      <c r="C9" s="59" t="s">
        <v>13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spans="2:16" x14ac:dyDescent="0.25">
      <c r="B10" s="58"/>
      <c r="C10" s="59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2:16" ht="31.5" x14ac:dyDescent="0.25">
      <c r="B11" s="58">
        <v>425131</v>
      </c>
      <c r="C11" s="59" t="s">
        <v>14</v>
      </c>
      <c r="D11" s="4"/>
      <c r="E11" s="4">
        <v>52200000</v>
      </c>
      <c r="F11" s="4"/>
      <c r="G11" s="4"/>
      <c r="H11" s="4"/>
      <c r="I11" s="4"/>
      <c r="J11" s="4">
        <v>46315000</v>
      </c>
      <c r="K11" s="4"/>
      <c r="L11" s="4"/>
      <c r="M11" s="4"/>
    </row>
    <row r="12" spans="2:16" x14ac:dyDescent="0.25">
      <c r="B12" s="58"/>
      <c r="C12" s="59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2:16" ht="31.5" x14ac:dyDescent="0.25">
      <c r="B13" s="58">
        <v>425411</v>
      </c>
      <c r="C13" s="59" t="s">
        <v>2</v>
      </c>
      <c r="D13" s="4">
        <v>108200000</v>
      </c>
      <c r="E13" s="4">
        <v>108200000</v>
      </c>
      <c r="F13" s="4"/>
      <c r="G13" s="4"/>
      <c r="H13" s="4"/>
      <c r="I13" s="4"/>
      <c r="J13" s="4">
        <v>66000000</v>
      </c>
      <c r="K13" s="4"/>
      <c r="L13" s="4"/>
      <c r="M13" s="4"/>
    </row>
    <row r="14" spans="2:16" x14ac:dyDescent="0.25">
      <c r="B14" s="58"/>
      <c r="C14" s="59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2:16" ht="31.5" x14ac:dyDescent="0.25">
      <c r="B15" s="58">
        <v>425412</v>
      </c>
      <c r="C15" s="59" t="s">
        <v>3</v>
      </c>
      <c r="D15" s="4">
        <v>23579197500</v>
      </c>
      <c r="E15" s="4">
        <v>23664697500</v>
      </c>
      <c r="F15" s="4"/>
      <c r="G15" s="4"/>
      <c r="H15" s="4"/>
      <c r="I15" s="4">
        <v>29016054000</v>
      </c>
      <c r="J15" s="4">
        <v>28658907500</v>
      </c>
      <c r="K15" s="4"/>
      <c r="L15" s="4"/>
      <c r="M15" s="4"/>
    </row>
    <row r="16" spans="2:16" x14ac:dyDescent="0.25">
      <c r="B16" s="58"/>
      <c r="C16" s="59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2:18" ht="31.5" x14ac:dyDescent="0.25">
      <c r="B17" s="58">
        <v>425419</v>
      </c>
      <c r="C17" s="59" t="s">
        <v>4</v>
      </c>
      <c r="D17" s="4">
        <v>52000000</v>
      </c>
      <c r="E17" s="4">
        <v>16900000</v>
      </c>
      <c r="F17" s="4"/>
      <c r="G17" s="4"/>
      <c r="H17" s="4"/>
      <c r="I17" s="4"/>
      <c r="J17" s="4">
        <v>5900000</v>
      </c>
      <c r="K17" s="4"/>
      <c r="L17" s="4"/>
      <c r="M17" s="4"/>
    </row>
    <row r="18" spans="2:18" x14ac:dyDescent="0.25">
      <c r="B18" s="60"/>
      <c r="C18" s="61"/>
      <c r="D18" s="7"/>
      <c r="E18" s="7"/>
      <c r="F18" s="7"/>
      <c r="G18" s="7"/>
      <c r="H18" s="7"/>
      <c r="I18" s="8"/>
      <c r="J18" s="8"/>
      <c r="K18" s="8"/>
      <c r="L18" s="8"/>
      <c r="M18" s="8"/>
      <c r="N18" s="9"/>
      <c r="O18" s="9"/>
      <c r="P18" s="9"/>
    </row>
    <row r="19" spans="2:18" x14ac:dyDescent="0.25">
      <c r="B19" s="60"/>
      <c r="C19" s="61"/>
      <c r="D19" s="7"/>
      <c r="E19" s="7"/>
      <c r="F19" s="7"/>
      <c r="G19" s="7"/>
      <c r="H19" s="7"/>
      <c r="I19" s="8"/>
      <c r="J19" s="8"/>
      <c r="K19" s="8"/>
      <c r="L19" s="8"/>
      <c r="M19" s="8"/>
      <c r="N19" s="9"/>
      <c r="O19" s="9"/>
      <c r="P19" s="9"/>
    </row>
    <row r="20" spans="2:18" x14ac:dyDescent="0.25">
      <c r="B20" s="78" t="s">
        <v>10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11"/>
      <c r="O20" s="11"/>
      <c r="P20" s="11"/>
    </row>
    <row r="21" spans="2:18" x14ac:dyDescent="0.25">
      <c r="B21" s="78" t="s">
        <v>11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11"/>
      <c r="O21" s="11"/>
      <c r="P21" s="11"/>
    </row>
    <row r="22" spans="2:18" x14ac:dyDescent="0.25">
      <c r="B22" s="78" t="s">
        <v>12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11"/>
      <c r="O22" s="11"/>
      <c r="P22" s="11"/>
    </row>
    <row r="23" spans="2:18" x14ac:dyDescent="0.25">
      <c r="B23" s="60"/>
      <c r="C23" s="61"/>
      <c r="D23" s="7"/>
      <c r="E23" s="7"/>
      <c r="F23" s="7"/>
      <c r="G23" s="7"/>
      <c r="H23" s="7"/>
      <c r="I23" s="8"/>
      <c r="J23" s="8"/>
      <c r="K23" s="8"/>
      <c r="L23" s="8"/>
      <c r="M23" s="8"/>
      <c r="N23" s="9"/>
      <c r="O23" s="9"/>
      <c r="P23" s="9"/>
    </row>
    <row r="24" spans="2:18" x14ac:dyDescent="0.25">
      <c r="R24" s="53"/>
    </row>
    <row r="25" spans="2:18" s="6" customFormat="1" x14ac:dyDescent="0.25">
      <c r="B25" s="79" t="s">
        <v>5</v>
      </c>
      <c r="C25" s="81" t="s">
        <v>6</v>
      </c>
      <c r="D25" s="93">
        <v>2021</v>
      </c>
      <c r="E25" s="93"/>
      <c r="F25" s="93"/>
      <c r="G25" s="93"/>
      <c r="H25" s="93"/>
      <c r="I25" s="87">
        <v>2022</v>
      </c>
      <c r="J25" s="88"/>
      <c r="K25" s="88"/>
      <c r="L25" s="88"/>
      <c r="M25" s="97"/>
    </row>
    <row r="26" spans="2:18" s="6" customFormat="1" ht="31.5" x14ac:dyDescent="0.25">
      <c r="B26" s="80"/>
      <c r="C26" s="82"/>
      <c r="D26" s="56" t="s">
        <v>9</v>
      </c>
      <c r="E26" s="56" t="s">
        <v>8</v>
      </c>
      <c r="F26" s="56" t="s">
        <v>24</v>
      </c>
      <c r="G26" s="56" t="s">
        <v>23</v>
      </c>
      <c r="H26" s="56" t="s">
        <v>7</v>
      </c>
      <c r="I26" s="65" t="s">
        <v>9</v>
      </c>
      <c r="J26" s="65" t="s">
        <v>8</v>
      </c>
      <c r="K26" s="65" t="s">
        <v>24</v>
      </c>
      <c r="L26" s="65" t="s">
        <v>23</v>
      </c>
      <c r="M26" s="65" t="s">
        <v>7</v>
      </c>
    </row>
    <row r="27" spans="2:18" s="11" customFormat="1" x14ac:dyDescent="0.25">
      <c r="B27" s="58" t="s">
        <v>0</v>
      </c>
      <c r="C27" s="59" t="s">
        <v>1</v>
      </c>
      <c r="D27" s="66">
        <f>SUM(D28:D36)</f>
        <v>34233136000</v>
      </c>
      <c r="E27" s="66">
        <f>SUM(E28:E36)</f>
        <v>31513387350</v>
      </c>
      <c r="F27" s="69">
        <f>E27-D27</f>
        <v>-2719748650</v>
      </c>
      <c r="G27" s="68">
        <f>E27/D27</f>
        <v>0.92055216180019261</v>
      </c>
      <c r="H27" s="66">
        <v>29406540662</v>
      </c>
      <c r="I27" s="66">
        <f>SUM(I28:I36)</f>
        <v>40736775000</v>
      </c>
      <c r="J27" s="66">
        <f>SUM(J28:J36)</f>
        <v>34827238500</v>
      </c>
      <c r="K27" s="69">
        <f>J27-I27</f>
        <v>-5909536500</v>
      </c>
      <c r="L27" s="68">
        <f>J27/I27</f>
        <v>0.85493361956119507</v>
      </c>
      <c r="M27" s="66">
        <v>30024499426</v>
      </c>
    </row>
    <row r="28" spans="2:18" ht="63" x14ac:dyDescent="0.25">
      <c r="B28" s="58">
        <v>2132</v>
      </c>
      <c r="C28" s="59" t="s">
        <v>13</v>
      </c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2:18" x14ac:dyDescent="0.25">
      <c r="B29" s="58"/>
      <c r="C29" s="59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2:18" ht="31.5" x14ac:dyDescent="0.25">
      <c r="B30" s="58">
        <v>425131</v>
      </c>
      <c r="C30" s="59" t="s">
        <v>14</v>
      </c>
      <c r="D30" s="4"/>
      <c r="E30" s="4"/>
      <c r="F30" s="4"/>
      <c r="G30" s="4"/>
      <c r="H30" s="4"/>
      <c r="I30" s="4">
        <v>68000000</v>
      </c>
      <c r="J30" s="4">
        <v>20982000</v>
      </c>
      <c r="K30" s="4"/>
      <c r="L30" s="4"/>
      <c r="M30" s="4"/>
    </row>
    <row r="31" spans="2:18" x14ac:dyDescent="0.25">
      <c r="B31" s="58"/>
      <c r="C31" s="59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2:18" ht="31.5" x14ac:dyDescent="0.25">
      <c r="B32" s="58">
        <v>425411</v>
      </c>
      <c r="C32" s="59" t="s">
        <v>2</v>
      </c>
      <c r="D32" s="4">
        <v>0</v>
      </c>
      <c r="E32" s="4">
        <v>110350000</v>
      </c>
      <c r="F32" s="4"/>
      <c r="G32" s="4"/>
      <c r="H32" s="4"/>
      <c r="I32" s="4">
        <v>825000000</v>
      </c>
      <c r="J32" s="4">
        <v>94550000</v>
      </c>
      <c r="K32" s="4"/>
      <c r="L32" s="4"/>
      <c r="M32" s="4"/>
    </row>
    <row r="33" spans="2:16" x14ac:dyDescent="0.25">
      <c r="B33" s="58"/>
      <c r="C33" s="59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2:16" ht="31.5" x14ac:dyDescent="0.25">
      <c r="B34" s="58">
        <v>425412</v>
      </c>
      <c r="C34" s="59" t="s">
        <v>3</v>
      </c>
      <c r="D34" s="4">
        <v>34233136000</v>
      </c>
      <c r="E34" s="4">
        <v>31403037350</v>
      </c>
      <c r="F34" s="4"/>
      <c r="G34" s="4"/>
      <c r="H34" s="4"/>
      <c r="I34" s="4">
        <v>39618775000</v>
      </c>
      <c r="J34" s="4">
        <v>34711706500</v>
      </c>
      <c r="K34" s="4"/>
      <c r="L34" s="4"/>
      <c r="M34" s="4"/>
    </row>
    <row r="35" spans="2:16" x14ac:dyDescent="0.25">
      <c r="B35" s="58"/>
      <c r="C35" s="59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2:16" ht="31.5" x14ac:dyDescent="0.25">
      <c r="B36" s="58">
        <v>425419</v>
      </c>
      <c r="C36" s="59" t="s">
        <v>4</v>
      </c>
      <c r="D36" s="4">
        <v>0</v>
      </c>
      <c r="E36" s="4"/>
      <c r="F36" s="4"/>
      <c r="G36" s="4"/>
      <c r="H36" s="4"/>
      <c r="I36" s="4">
        <v>225000000</v>
      </c>
      <c r="J36" s="4"/>
      <c r="K36" s="4"/>
      <c r="L36" s="4"/>
      <c r="M36" s="4"/>
    </row>
    <row r="40" spans="2:16" x14ac:dyDescent="0.25">
      <c r="B40" s="78" t="s">
        <v>10</v>
      </c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11"/>
      <c r="O40" s="11"/>
      <c r="P40" s="11"/>
    </row>
    <row r="41" spans="2:16" x14ac:dyDescent="0.25">
      <c r="B41" s="78" t="s">
        <v>11</v>
      </c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11"/>
      <c r="O41" s="11"/>
      <c r="P41" s="11"/>
    </row>
    <row r="42" spans="2:16" x14ac:dyDescent="0.25">
      <c r="B42" s="78" t="s">
        <v>12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11"/>
      <c r="O42" s="11"/>
      <c r="P42" s="11"/>
    </row>
    <row r="45" spans="2:16" x14ac:dyDescent="0.2">
      <c r="B45" s="79" t="s">
        <v>5</v>
      </c>
      <c r="C45" s="81" t="s">
        <v>6</v>
      </c>
      <c r="D45" s="89">
        <v>2023</v>
      </c>
      <c r="E45" s="90"/>
      <c r="F45" s="90"/>
      <c r="G45" s="90"/>
      <c r="H45" s="95"/>
      <c r="I45" s="91">
        <v>2024</v>
      </c>
      <c r="J45" s="92"/>
      <c r="K45" s="92"/>
      <c r="L45" s="92"/>
      <c r="M45" s="94"/>
    </row>
    <row r="46" spans="2:16" ht="31.5" x14ac:dyDescent="0.2">
      <c r="B46" s="80"/>
      <c r="C46" s="82"/>
      <c r="D46" s="57" t="s">
        <v>9</v>
      </c>
      <c r="E46" s="57" t="s">
        <v>8</v>
      </c>
      <c r="F46" s="57" t="s">
        <v>24</v>
      </c>
      <c r="G46" s="57" t="s">
        <v>23</v>
      </c>
      <c r="H46" s="57" t="s">
        <v>7</v>
      </c>
      <c r="I46" s="55" t="s">
        <v>9</v>
      </c>
      <c r="J46" s="55" t="s">
        <v>8</v>
      </c>
      <c r="K46" s="55" t="s">
        <v>24</v>
      </c>
      <c r="L46" s="55" t="s">
        <v>23</v>
      </c>
      <c r="M46" s="55" t="s">
        <v>7</v>
      </c>
    </row>
    <row r="47" spans="2:16" s="11" customFormat="1" x14ac:dyDescent="0.25">
      <c r="B47" s="58" t="s">
        <v>0</v>
      </c>
      <c r="C47" s="59" t="s">
        <v>1</v>
      </c>
      <c r="D47" s="66">
        <f>SUM(D48:D56)</f>
        <v>45468750000</v>
      </c>
      <c r="E47" s="66">
        <f>SUM(E48:E56)</f>
        <v>36448691000</v>
      </c>
      <c r="F47" s="69">
        <f>E47-D47</f>
        <v>-9020059000</v>
      </c>
      <c r="G47" s="68">
        <f>E47/D47</f>
        <v>0.80162069553264603</v>
      </c>
      <c r="H47" s="66">
        <v>35115289860</v>
      </c>
      <c r="I47" s="66">
        <f>SUM(I48:I56)</f>
        <v>46394224000</v>
      </c>
      <c r="J47" s="66">
        <f>SUM(J48:J56)</f>
        <v>37829080500</v>
      </c>
      <c r="K47" s="69">
        <f>J47-I47</f>
        <v>-8565143500</v>
      </c>
      <c r="L47" s="68">
        <f>J47/I47</f>
        <v>0.81538340850361024</v>
      </c>
      <c r="M47" s="70">
        <v>34632923733</v>
      </c>
      <c r="O47" s="63"/>
    </row>
    <row r="48" spans="2:16" ht="63" x14ac:dyDescent="0.25">
      <c r="B48" s="58">
        <v>2132</v>
      </c>
      <c r="C48" s="59" t="s">
        <v>13</v>
      </c>
      <c r="D48" s="71"/>
      <c r="E48" s="71"/>
      <c r="F48" s="71"/>
      <c r="G48" s="71"/>
      <c r="H48" s="71"/>
      <c r="I48" s="4"/>
      <c r="J48" s="71"/>
      <c r="K48" s="71"/>
      <c r="L48" s="71"/>
      <c r="M48" s="71"/>
      <c r="O48" s="12"/>
    </row>
    <row r="49" spans="2:16" x14ac:dyDescent="0.25">
      <c r="B49" s="58"/>
      <c r="C49" s="59"/>
      <c r="D49" s="4"/>
      <c r="E49" s="4"/>
      <c r="F49" s="4"/>
      <c r="G49" s="4"/>
      <c r="H49" s="4"/>
      <c r="I49" s="4"/>
      <c r="J49" s="4"/>
      <c r="K49" s="4"/>
      <c r="L49" s="4"/>
      <c r="M49" s="71"/>
    </row>
    <row r="50" spans="2:16" ht="31.5" x14ac:dyDescent="0.25">
      <c r="B50" s="58">
        <v>425131</v>
      </c>
      <c r="C50" s="59" t="s">
        <v>14</v>
      </c>
      <c r="D50" s="4"/>
      <c r="E50" s="4">
        <v>97132000</v>
      </c>
      <c r="F50" s="4"/>
      <c r="G50" s="4"/>
      <c r="H50" s="4"/>
      <c r="I50" s="4">
        <v>110000000</v>
      </c>
      <c r="J50" s="4">
        <v>52357500</v>
      </c>
      <c r="K50" s="4"/>
      <c r="L50" s="4"/>
      <c r="M50" s="72"/>
    </row>
    <row r="51" spans="2:16" x14ac:dyDescent="0.25">
      <c r="B51" s="58"/>
      <c r="C51" s="59"/>
      <c r="D51" s="4"/>
      <c r="E51" s="4"/>
      <c r="F51" s="4"/>
      <c r="G51" s="4"/>
      <c r="H51" s="4"/>
      <c r="I51" s="4"/>
      <c r="J51" s="4"/>
      <c r="K51" s="4"/>
      <c r="L51" s="4"/>
      <c r="M51" s="72"/>
    </row>
    <row r="52" spans="2:16" ht="31.5" x14ac:dyDescent="0.25">
      <c r="B52" s="58">
        <v>425411</v>
      </c>
      <c r="C52" s="59" t="s">
        <v>2</v>
      </c>
      <c r="D52" s="4">
        <v>173750000</v>
      </c>
      <c r="E52" s="4">
        <v>113900000</v>
      </c>
      <c r="F52" s="4"/>
      <c r="G52" s="4"/>
      <c r="H52" s="4"/>
      <c r="I52" s="4">
        <v>130000000</v>
      </c>
      <c r="J52" s="4">
        <v>85250000</v>
      </c>
      <c r="K52" s="4"/>
      <c r="L52" s="4"/>
      <c r="M52" s="72"/>
    </row>
    <row r="53" spans="2:16" s="6" customFormat="1" x14ac:dyDescent="0.25">
      <c r="B53" s="58"/>
      <c r="C53" s="59"/>
      <c r="D53" s="4"/>
      <c r="E53" s="4"/>
      <c r="F53" s="4"/>
      <c r="G53" s="4"/>
      <c r="H53" s="4"/>
      <c r="I53" s="4"/>
      <c r="J53" s="4"/>
      <c r="K53" s="4"/>
      <c r="L53" s="4"/>
      <c r="M53" s="72"/>
    </row>
    <row r="54" spans="2:16" s="6" customFormat="1" ht="31.5" x14ac:dyDescent="0.25">
      <c r="B54" s="58">
        <v>425412</v>
      </c>
      <c r="C54" s="59" t="s">
        <v>3</v>
      </c>
      <c r="D54" s="4">
        <v>45273400000</v>
      </c>
      <c r="E54" s="4">
        <v>36237659000</v>
      </c>
      <c r="F54" s="4"/>
      <c r="G54" s="4"/>
      <c r="H54" s="4"/>
      <c r="I54" s="4">
        <v>46150000000</v>
      </c>
      <c r="J54" s="4">
        <v>37691473000</v>
      </c>
      <c r="K54" s="4"/>
      <c r="L54" s="4"/>
      <c r="M54" s="72"/>
      <c r="O54" s="10"/>
    </row>
    <row r="55" spans="2:16" x14ac:dyDescent="0.25">
      <c r="B55" s="58"/>
      <c r="C55" s="59"/>
      <c r="D55" s="4"/>
      <c r="E55" s="4"/>
      <c r="F55" s="4"/>
      <c r="G55" s="4"/>
      <c r="H55" s="4"/>
      <c r="I55" s="4"/>
      <c r="J55" s="4"/>
      <c r="K55" s="4"/>
      <c r="L55" s="4"/>
      <c r="M55" s="72"/>
    </row>
    <row r="56" spans="2:16" ht="31.5" x14ac:dyDescent="0.25">
      <c r="B56" s="58">
        <v>425419</v>
      </c>
      <c r="C56" s="59" t="s">
        <v>4</v>
      </c>
      <c r="D56" s="4">
        <v>21600000</v>
      </c>
      <c r="E56" s="4"/>
      <c r="F56" s="4"/>
      <c r="G56" s="4"/>
      <c r="H56" s="4"/>
      <c r="I56" s="4">
        <v>4224000</v>
      </c>
      <c r="J56" s="4"/>
      <c r="K56" s="4"/>
      <c r="L56" s="4"/>
      <c r="M56" s="72"/>
    </row>
    <row r="57" spans="2:16" x14ac:dyDescent="0.25">
      <c r="B57" s="11"/>
      <c r="C57" s="11"/>
      <c r="D57" s="2"/>
      <c r="E57" s="73"/>
      <c r="F57" s="73"/>
      <c r="G57" s="73"/>
      <c r="H57" s="2"/>
    </row>
    <row r="58" spans="2:16" x14ac:dyDescent="0.25">
      <c r="B58" s="11"/>
      <c r="C58" s="11"/>
      <c r="D58" s="2"/>
      <c r="E58" s="2"/>
      <c r="F58" s="2"/>
      <c r="G58" s="2"/>
      <c r="H58" s="2"/>
    </row>
    <row r="59" spans="2:16" x14ac:dyDescent="0.25">
      <c r="B59" s="78" t="s">
        <v>10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11"/>
      <c r="O59" s="11"/>
      <c r="P59" s="11"/>
    </row>
    <row r="60" spans="2:16" x14ac:dyDescent="0.25">
      <c r="B60" s="78" t="s">
        <v>11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11"/>
      <c r="O60" s="11"/>
      <c r="P60" s="11"/>
    </row>
    <row r="61" spans="2:16" x14ac:dyDescent="0.25">
      <c r="B61" s="78" t="s">
        <v>12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11"/>
      <c r="O61" s="11"/>
      <c r="P61" s="11"/>
    </row>
    <row r="62" spans="2:16" x14ac:dyDescent="0.25">
      <c r="B62" s="11"/>
      <c r="C62" s="11"/>
      <c r="D62" s="2"/>
      <c r="E62" s="2"/>
      <c r="F62" s="2"/>
      <c r="G62" s="2"/>
      <c r="H62" s="2"/>
    </row>
    <row r="63" spans="2:16" x14ac:dyDescent="0.25">
      <c r="B63" s="11"/>
      <c r="C63" s="11"/>
      <c r="D63" s="2"/>
      <c r="E63" s="2"/>
      <c r="F63" s="2"/>
      <c r="G63" s="2"/>
      <c r="H63" s="2"/>
    </row>
    <row r="64" spans="2:16" x14ac:dyDescent="0.2">
      <c r="B64" s="79" t="s">
        <v>5</v>
      </c>
      <c r="C64" s="81" t="s">
        <v>6</v>
      </c>
      <c r="D64" s="85">
        <v>2025</v>
      </c>
      <c r="E64" s="86"/>
      <c r="F64" s="86"/>
      <c r="G64" s="86"/>
      <c r="H64" s="98"/>
      <c r="I64" s="87">
        <v>2026</v>
      </c>
      <c r="J64" s="88"/>
      <c r="K64" s="88"/>
      <c r="L64" s="88"/>
      <c r="M64" s="97"/>
    </row>
    <row r="65" spans="2:16" ht="31.5" x14ac:dyDescent="0.2">
      <c r="B65" s="80"/>
      <c r="C65" s="82"/>
      <c r="D65" s="56" t="s">
        <v>9</v>
      </c>
      <c r="E65" s="56" t="s">
        <v>8</v>
      </c>
      <c r="F65" s="56" t="s">
        <v>24</v>
      </c>
      <c r="G65" s="56" t="s">
        <v>23</v>
      </c>
      <c r="H65" s="56" t="s">
        <v>7</v>
      </c>
      <c r="I65" s="65" t="s">
        <v>9</v>
      </c>
      <c r="J65" s="65" t="s">
        <v>8</v>
      </c>
      <c r="K65" s="65" t="s">
        <v>24</v>
      </c>
      <c r="L65" s="65" t="s">
        <v>23</v>
      </c>
      <c r="M65" s="65" t="s">
        <v>7</v>
      </c>
    </row>
    <row r="66" spans="2:16" s="11" customFormat="1" x14ac:dyDescent="0.25">
      <c r="B66" s="58" t="s">
        <v>0</v>
      </c>
      <c r="C66" s="59" t="s">
        <v>1</v>
      </c>
      <c r="D66" s="66">
        <f>SUM(D67:D75)</f>
        <v>46994400000</v>
      </c>
      <c r="E66" s="66">
        <f>SUM(E67:E75)</f>
        <v>37990985000</v>
      </c>
      <c r="F66" s="69">
        <f>E66-D66</f>
        <v>-9003415000</v>
      </c>
      <c r="G66" s="68">
        <f>E66/D66</f>
        <v>0.80841515159253019</v>
      </c>
      <c r="H66" s="66">
        <v>9767655607</v>
      </c>
      <c r="I66" s="64">
        <f>SUM(I67:I75)</f>
        <v>38670350000</v>
      </c>
      <c r="J66" s="66"/>
      <c r="K66" s="66"/>
      <c r="L66" s="66"/>
      <c r="M66" s="74"/>
    </row>
    <row r="67" spans="2:16" ht="63" x14ac:dyDescent="0.25">
      <c r="B67" s="58">
        <v>2132</v>
      </c>
      <c r="C67" s="59" t="s">
        <v>13</v>
      </c>
      <c r="D67" s="71"/>
      <c r="E67" s="71"/>
      <c r="F67" s="71"/>
      <c r="G67" s="71"/>
      <c r="H67" s="71"/>
      <c r="I67" s="19"/>
      <c r="J67" s="71"/>
      <c r="K67" s="71"/>
      <c r="L67" s="71"/>
      <c r="M67" s="71"/>
    </row>
    <row r="68" spans="2:16" x14ac:dyDescent="0.25">
      <c r="B68" s="58"/>
      <c r="C68" s="59"/>
      <c r="D68" s="4"/>
      <c r="E68" s="4"/>
      <c r="F68" s="4"/>
      <c r="G68" s="4"/>
      <c r="H68" s="4"/>
      <c r="I68" s="19"/>
      <c r="J68" s="4"/>
      <c r="K68" s="4"/>
      <c r="L68" s="4"/>
      <c r="M68" s="71"/>
    </row>
    <row r="69" spans="2:16" ht="31.5" x14ac:dyDescent="0.25">
      <c r="B69" s="58">
        <v>425131</v>
      </c>
      <c r="C69" s="59" t="s">
        <v>14</v>
      </c>
      <c r="D69" s="4">
        <v>110000000</v>
      </c>
      <c r="E69" s="4">
        <v>47741000</v>
      </c>
      <c r="F69" s="4"/>
      <c r="G69" s="4"/>
      <c r="H69" s="4"/>
      <c r="I69" s="19">
        <v>75000000</v>
      </c>
      <c r="J69" s="4"/>
      <c r="K69" s="4"/>
      <c r="L69" s="4"/>
      <c r="M69" s="71"/>
    </row>
    <row r="70" spans="2:16" x14ac:dyDescent="0.25">
      <c r="B70" s="58"/>
      <c r="C70" s="59"/>
      <c r="D70" s="4"/>
      <c r="E70" s="4"/>
      <c r="F70" s="4"/>
      <c r="G70" s="4"/>
      <c r="H70" s="4"/>
      <c r="I70" s="19"/>
      <c r="J70" s="4"/>
      <c r="K70" s="4"/>
      <c r="L70" s="4"/>
      <c r="M70" s="71"/>
    </row>
    <row r="71" spans="2:16" ht="31.5" x14ac:dyDescent="0.25">
      <c r="B71" s="58">
        <v>425411</v>
      </c>
      <c r="C71" s="59" t="s">
        <v>2</v>
      </c>
      <c r="D71" s="4">
        <v>130000000</v>
      </c>
      <c r="E71" s="4">
        <v>102400000</v>
      </c>
      <c r="F71" s="4"/>
      <c r="G71" s="4"/>
      <c r="H71" s="4"/>
      <c r="I71" s="19">
        <v>90000000</v>
      </c>
      <c r="J71" s="4"/>
      <c r="K71" s="4"/>
      <c r="L71" s="4"/>
      <c r="M71" s="71"/>
    </row>
    <row r="72" spans="2:16" x14ac:dyDescent="0.25">
      <c r="B72" s="58"/>
      <c r="C72" s="59"/>
      <c r="D72" s="4"/>
      <c r="E72" s="4"/>
      <c r="F72" s="4"/>
      <c r="G72" s="4"/>
      <c r="H72" s="4"/>
      <c r="I72" s="19"/>
      <c r="J72" s="4"/>
      <c r="K72" s="4"/>
      <c r="L72" s="4"/>
      <c r="M72" s="71"/>
    </row>
    <row r="73" spans="2:16" ht="31.5" x14ac:dyDescent="0.25">
      <c r="B73" s="58">
        <v>425412</v>
      </c>
      <c r="C73" s="59" t="s">
        <v>3</v>
      </c>
      <c r="D73" s="4">
        <f>I54+(1.3%*I54)</f>
        <v>46749950000</v>
      </c>
      <c r="E73" s="4">
        <v>37840844000</v>
      </c>
      <c r="F73" s="4"/>
      <c r="G73" s="4"/>
      <c r="H73" s="4"/>
      <c r="I73" s="19">
        <v>38500000000</v>
      </c>
      <c r="J73" s="4"/>
      <c r="K73" s="4"/>
      <c r="L73" s="4"/>
      <c r="M73" s="71"/>
    </row>
    <row r="74" spans="2:16" x14ac:dyDescent="0.25">
      <c r="B74" s="58"/>
      <c r="C74" s="59"/>
      <c r="D74" s="4"/>
      <c r="E74" s="4"/>
      <c r="F74" s="4"/>
      <c r="G74" s="4"/>
      <c r="H74" s="4"/>
      <c r="I74" s="19"/>
      <c r="J74" s="4"/>
      <c r="K74" s="4"/>
      <c r="L74" s="4"/>
      <c r="M74" s="71"/>
    </row>
    <row r="75" spans="2:16" ht="31.5" x14ac:dyDescent="0.25">
      <c r="B75" s="58">
        <v>425419</v>
      </c>
      <c r="C75" s="59" t="s">
        <v>4</v>
      </c>
      <c r="D75" s="4">
        <v>4450000</v>
      </c>
      <c r="E75" s="4"/>
      <c r="F75" s="4"/>
      <c r="G75" s="4"/>
      <c r="H75" s="4"/>
      <c r="I75" s="19">
        <v>5350000</v>
      </c>
      <c r="J75" s="4"/>
      <c r="K75" s="4"/>
      <c r="L75" s="4"/>
      <c r="M75" s="71"/>
    </row>
    <row r="79" spans="2:16" x14ac:dyDescent="0.25">
      <c r="B79" s="78" t="s">
        <v>10</v>
      </c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11"/>
      <c r="O79" s="11"/>
      <c r="P79" s="11"/>
    </row>
    <row r="80" spans="2:16" x14ac:dyDescent="0.25">
      <c r="B80" s="78" t="s">
        <v>11</v>
      </c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11"/>
      <c r="O80" s="11"/>
      <c r="P80" s="11"/>
    </row>
    <row r="81" spans="2:16" x14ac:dyDescent="0.25">
      <c r="B81" s="78" t="s">
        <v>12</v>
      </c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11"/>
      <c r="O81" s="11"/>
      <c r="P81" s="11"/>
    </row>
    <row r="82" spans="2:16" x14ac:dyDescent="0.25">
      <c r="B82" s="11"/>
      <c r="C82" s="11"/>
      <c r="D82" s="2"/>
      <c r="E82" s="2"/>
      <c r="F82" s="2"/>
      <c r="G82" s="2"/>
      <c r="H82" s="2"/>
    </row>
    <row r="83" spans="2:16" x14ac:dyDescent="0.25">
      <c r="B83" s="11"/>
      <c r="C83" s="11"/>
      <c r="D83" s="2"/>
      <c r="E83" s="2"/>
      <c r="F83" s="2"/>
      <c r="G83" s="2"/>
      <c r="H83" s="2"/>
    </row>
    <row r="84" spans="2:16" x14ac:dyDescent="0.2">
      <c r="B84" s="79" t="s">
        <v>5</v>
      </c>
      <c r="C84" s="81" t="s">
        <v>6</v>
      </c>
      <c r="D84" s="83">
        <v>2027</v>
      </c>
      <c r="E84" s="84"/>
      <c r="F84" s="84"/>
      <c r="G84" s="84"/>
      <c r="H84" s="96"/>
      <c r="I84" s="83">
        <v>2028</v>
      </c>
      <c r="J84" s="84"/>
      <c r="K84" s="84"/>
      <c r="L84" s="84"/>
      <c r="M84" s="96"/>
    </row>
    <row r="85" spans="2:16" ht="31.5" x14ac:dyDescent="0.2">
      <c r="B85" s="80"/>
      <c r="C85" s="82"/>
      <c r="D85" s="54" t="s">
        <v>9</v>
      </c>
      <c r="E85" s="54" t="s">
        <v>8</v>
      </c>
      <c r="F85" s="54" t="s">
        <v>24</v>
      </c>
      <c r="G85" s="54" t="s">
        <v>23</v>
      </c>
      <c r="H85" s="54" t="s">
        <v>7</v>
      </c>
      <c r="I85" s="54" t="s">
        <v>9</v>
      </c>
      <c r="J85" s="54" t="s">
        <v>8</v>
      </c>
      <c r="K85" s="54" t="s">
        <v>24</v>
      </c>
      <c r="L85" s="54" t="s">
        <v>23</v>
      </c>
      <c r="M85" s="54" t="s">
        <v>7</v>
      </c>
    </row>
    <row r="86" spans="2:16" s="11" customFormat="1" x14ac:dyDescent="0.25">
      <c r="B86" s="58" t="s">
        <v>0</v>
      </c>
      <c r="C86" s="59" t="s">
        <v>1</v>
      </c>
      <c r="D86" s="75">
        <f>SUM(D87:D95)</f>
        <v>39380750000</v>
      </c>
      <c r="E86" s="75"/>
      <c r="F86" s="75"/>
      <c r="G86" s="75"/>
      <c r="H86" s="75"/>
      <c r="I86" s="75">
        <f>SUM(I87:I95)</f>
        <v>40441250000</v>
      </c>
      <c r="J86" s="75"/>
      <c r="K86" s="75"/>
      <c r="L86" s="75"/>
      <c r="M86" s="74"/>
    </row>
    <row r="87" spans="2:16" ht="63" x14ac:dyDescent="0.25">
      <c r="B87" s="58">
        <v>2132</v>
      </c>
      <c r="C87" s="59" t="s">
        <v>13</v>
      </c>
      <c r="D87" s="76"/>
      <c r="E87" s="76"/>
      <c r="F87" s="76"/>
      <c r="G87" s="76"/>
      <c r="H87" s="76"/>
      <c r="I87" s="20"/>
      <c r="J87" s="20"/>
      <c r="K87" s="20"/>
      <c r="L87" s="20"/>
      <c r="M87" s="71"/>
    </row>
    <row r="88" spans="2:16" x14ac:dyDescent="0.25">
      <c r="B88" s="58"/>
      <c r="C88" s="59"/>
      <c r="D88" s="20"/>
      <c r="E88" s="20"/>
      <c r="F88" s="20"/>
      <c r="G88" s="20"/>
      <c r="H88" s="20"/>
      <c r="I88" s="20"/>
      <c r="J88" s="20"/>
      <c r="K88" s="20"/>
      <c r="L88" s="20"/>
      <c r="M88" s="71"/>
    </row>
    <row r="89" spans="2:16" ht="31.5" x14ac:dyDescent="0.25">
      <c r="B89" s="58">
        <v>425131</v>
      </c>
      <c r="C89" s="59" t="s">
        <v>14</v>
      </c>
      <c r="D89" s="20">
        <v>80000000</v>
      </c>
      <c r="E89" s="20"/>
      <c r="F89" s="20"/>
      <c r="G89" s="20"/>
      <c r="H89" s="20"/>
      <c r="I89" s="20">
        <v>85000000</v>
      </c>
      <c r="J89" s="20"/>
      <c r="K89" s="20"/>
      <c r="L89" s="20"/>
      <c r="M89" s="71"/>
    </row>
    <row r="90" spans="2:16" x14ac:dyDescent="0.25">
      <c r="B90" s="58"/>
      <c r="C90" s="59"/>
      <c r="D90" s="20"/>
      <c r="E90" s="20"/>
      <c r="F90" s="20"/>
      <c r="G90" s="20"/>
      <c r="H90" s="20"/>
      <c r="I90" s="20"/>
      <c r="J90" s="20"/>
      <c r="K90" s="20"/>
      <c r="L90" s="20"/>
      <c r="M90" s="71"/>
    </row>
    <row r="91" spans="2:16" ht="31.5" x14ac:dyDescent="0.25">
      <c r="B91" s="58">
        <v>425411</v>
      </c>
      <c r="C91" s="59" t="s">
        <v>2</v>
      </c>
      <c r="D91" s="20">
        <v>95000000</v>
      </c>
      <c r="E91" s="20"/>
      <c r="F91" s="20"/>
      <c r="G91" s="20"/>
      <c r="H91" s="20"/>
      <c r="I91" s="20">
        <v>100000000</v>
      </c>
      <c r="J91" s="20"/>
      <c r="K91" s="20"/>
      <c r="L91" s="20"/>
      <c r="M91" s="71"/>
    </row>
    <row r="92" spans="2:16" x14ac:dyDescent="0.25">
      <c r="B92" s="58"/>
      <c r="C92" s="59"/>
      <c r="D92" s="20"/>
      <c r="E92" s="20"/>
      <c r="F92" s="20"/>
      <c r="G92" s="20"/>
      <c r="H92" s="20"/>
      <c r="I92" s="20"/>
      <c r="J92" s="20"/>
      <c r="K92" s="20"/>
      <c r="L92" s="20"/>
      <c r="M92" s="71"/>
    </row>
    <row r="93" spans="2:16" ht="31.5" x14ac:dyDescent="0.25">
      <c r="B93" s="58">
        <v>425412</v>
      </c>
      <c r="C93" s="59" t="s">
        <v>3</v>
      </c>
      <c r="D93" s="20">
        <v>39200000000</v>
      </c>
      <c r="E93" s="20"/>
      <c r="F93" s="20"/>
      <c r="G93" s="20"/>
      <c r="H93" s="20"/>
      <c r="I93" s="20">
        <v>40250000000</v>
      </c>
      <c r="J93" s="20"/>
      <c r="K93" s="20"/>
      <c r="L93" s="20"/>
      <c r="M93" s="71"/>
    </row>
    <row r="94" spans="2:16" x14ac:dyDescent="0.25">
      <c r="B94" s="58"/>
      <c r="C94" s="59"/>
      <c r="D94" s="20"/>
      <c r="E94" s="20"/>
      <c r="F94" s="20"/>
      <c r="G94" s="20"/>
      <c r="H94" s="20"/>
      <c r="I94" s="20"/>
      <c r="J94" s="20"/>
      <c r="K94" s="20"/>
      <c r="L94" s="20"/>
      <c r="M94" s="71"/>
    </row>
    <row r="95" spans="2:16" ht="31.5" x14ac:dyDescent="0.25">
      <c r="B95" s="58">
        <v>425419</v>
      </c>
      <c r="C95" s="59" t="s">
        <v>4</v>
      </c>
      <c r="D95" s="20">
        <v>5750000</v>
      </c>
      <c r="E95" s="20"/>
      <c r="F95" s="20"/>
      <c r="G95" s="20"/>
      <c r="H95" s="20"/>
      <c r="I95" s="20">
        <v>6250000</v>
      </c>
      <c r="J95" s="20"/>
      <c r="K95" s="20"/>
      <c r="L95" s="20"/>
      <c r="M95" s="71"/>
    </row>
  </sheetData>
  <mergeCells count="35">
    <mergeCell ref="B79:M79"/>
    <mergeCell ref="B80:M80"/>
    <mergeCell ref="B81:M81"/>
    <mergeCell ref="B21:M21"/>
    <mergeCell ref="B22:M22"/>
    <mergeCell ref="B40:M40"/>
    <mergeCell ref="B41:M41"/>
    <mergeCell ref="B42:M42"/>
    <mergeCell ref="B64:B65"/>
    <mergeCell ref="C64:C65"/>
    <mergeCell ref="B45:B46"/>
    <mergeCell ref="C45:C46"/>
    <mergeCell ref="B1:M1"/>
    <mergeCell ref="B2:M2"/>
    <mergeCell ref="B3:M3"/>
    <mergeCell ref="B20:M20"/>
    <mergeCell ref="B84:B85"/>
    <mergeCell ref="C84:C85"/>
    <mergeCell ref="D84:H84"/>
    <mergeCell ref="I84:M84"/>
    <mergeCell ref="I25:M25"/>
    <mergeCell ref="D45:H45"/>
    <mergeCell ref="I45:M45"/>
    <mergeCell ref="D64:H64"/>
    <mergeCell ref="I64:M64"/>
    <mergeCell ref="B59:M59"/>
    <mergeCell ref="B60:M60"/>
    <mergeCell ref="B61:M61"/>
    <mergeCell ref="B6:B7"/>
    <mergeCell ref="C6:C7"/>
    <mergeCell ref="I6:M6"/>
    <mergeCell ref="D25:H25"/>
    <mergeCell ref="D6:H6"/>
    <mergeCell ref="B25:B26"/>
    <mergeCell ref="C25:C26"/>
  </mergeCells>
  <pageMargins left="0.11811023622047245" right="0" top="0.55118110236220474" bottom="0.15748031496062992" header="0.31496062992125984" footer="0.31496062992125984"/>
  <pageSetup paperSize="9" scale="65" orientation="landscape" r:id="rId1"/>
  <rowBreaks count="2" manualBreakCount="2">
    <brk id="39" max="16383" man="1"/>
    <brk id="7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35"/>
  <sheetViews>
    <sheetView topLeftCell="A93" zoomScale="70" zoomScaleNormal="70" workbookViewId="0">
      <selection activeCell="H106" sqref="H106:H115"/>
    </sheetView>
  </sheetViews>
  <sheetFormatPr defaultColWidth="9.140625" defaultRowHeight="15" x14ac:dyDescent="0.25"/>
  <cols>
    <col min="1" max="1" width="5.42578125" style="14" customWidth="1"/>
    <col min="2" max="2" width="25.5703125" style="25" bestFit="1" customWidth="1"/>
    <col min="3" max="3" width="45.140625" style="26" customWidth="1"/>
    <col min="4" max="4" width="18.85546875" style="26" bestFit="1" customWidth="1"/>
    <col min="5" max="5" width="22.140625" style="26" bestFit="1" customWidth="1"/>
    <col min="6" max="6" width="19.28515625" style="26" customWidth="1"/>
    <col min="7" max="7" width="19.42578125" style="26" customWidth="1"/>
    <col min="8" max="8" width="20.140625" style="27" bestFit="1" customWidth="1"/>
    <col min="9" max="9" width="19.28515625" style="27" bestFit="1" customWidth="1"/>
    <col min="10" max="10" width="19.28515625" style="27" customWidth="1"/>
    <col min="11" max="11" width="18.42578125" style="27" customWidth="1"/>
    <col min="12" max="12" width="18.85546875" style="14" bestFit="1" customWidth="1"/>
    <col min="13" max="14" width="18.85546875" style="14" customWidth="1"/>
    <col min="15" max="15" width="18.85546875" style="14" bestFit="1" customWidth="1"/>
    <col min="16" max="17" width="18.85546875" style="14" customWidth="1"/>
    <col min="18" max="18" width="18.85546875" style="14" bestFit="1" customWidth="1"/>
    <col min="19" max="20" width="18.85546875" style="14" customWidth="1"/>
    <col min="21" max="21" width="18.85546875" style="14" bestFit="1" customWidth="1"/>
    <col min="22" max="23" width="18.85546875" style="14" customWidth="1"/>
    <col min="24" max="16384" width="9.140625" style="14"/>
  </cols>
  <sheetData>
    <row r="1" spans="2:14" ht="15.75" x14ac:dyDescent="0.25">
      <c r="B1" s="99" t="s">
        <v>10</v>
      </c>
      <c r="C1" s="99"/>
      <c r="D1" s="99"/>
      <c r="E1" s="99"/>
      <c r="F1" s="99"/>
      <c r="G1" s="99"/>
      <c r="H1" s="99"/>
      <c r="I1" s="99"/>
      <c r="J1" s="99"/>
      <c r="K1" s="99"/>
      <c r="L1" s="13"/>
      <c r="M1" s="13"/>
      <c r="N1" s="13"/>
    </row>
    <row r="2" spans="2:14" ht="15.75" x14ac:dyDescent="0.25">
      <c r="B2" s="99" t="s">
        <v>11</v>
      </c>
      <c r="C2" s="99"/>
      <c r="D2" s="99"/>
      <c r="E2" s="99"/>
      <c r="F2" s="99"/>
      <c r="G2" s="99"/>
      <c r="H2" s="99"/>
      <c r="I2" s="99"/>
      <c r="J2" s="99"/>
      <c r="K2" s="99"/>
      <c r="L2" s="13"/>
      <c r="M2" s="13"/>
      <c r="N2" s="13"/>
    </row>
    <row r="3" spans="2:14" ht="15.75" x14ac:dyDescent="0.25">
      <c r="B3" s="99" t="s">
        <v>12</v>
      </c>
      <c r="C3" s="99"/>
      <c r="D3" s="99"/>
      <c r="E3" s="99"/>
      <c r="F3" s="99"/>
      <c r="G3" s="99"/>
      <c r="H3" s="99"/>
      <c r="I3" s="99"/>
      <c r="J3" s="99"/>
      <c r="K3" s="99"/>
      <c r="L3" s="13"/>
      <c r="M3" s="13"/>
      <c r="N3" s="13"/>
    </row>
    <row r="4" spans="2:14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</row>
    <row r="6" spans="2:14" s="15" customFormat="1" ht="15.75" x14ac:dyDescent="0.25">
      <c r="B6" s="100" t="s">
        <v>5</v>
      </c>
      <c r="C6" s="102" t="s">
        <v>6</v>
      </c>
      <c r="D6" s="108">
        <v>2019</v>
      </c>
      <c r="E6" s="109"/>
      <c r="F6" s="109"/>
      <c r="G6" s="110"/>
      <c r="H6" s="108">
        <v>2020</v>
      </c>
      <c r="I6" s="109"/>
      <c r="J6" s="109"/>
      <c r="K6" s="110"/>
    </row>
    <row r="7" spans="2:14" s="15" customFormat="1" ht="31.5" x14ac:dyDescent="0.25">
      <c r="B7" s="101"/>
      <c r="C7" s="103"/>
      <c r="D7" s="16" t="s">
        <v>9</v>
      </c>
      <c r="E7" s="16" t="s">
        <v>8</v>
      </c>
      <c r="F7" s="16" t="s">
        <v>15</v>
      </c>
      <c r="G7" s="16" t="s">
        <v>7</v>
      </c>
      <c r="H7" s="16" t="s">
        <v>9</v>
      </c>
      <c r="I7" s="16" t="s">
        <v>8</v>
      </c>
      <c r="J7" s="16" t="s">
        <v>15</v>
      </c>
      <c r="K7" s="16" t="s">
        <v>7</v>
      </c>
    </row>
    <row r="8" spans="2:14" x14ac:dyDescent="0.25">
      <c r="B8" s="17" t="s">
        <v>0</v>
      </c>
      <c r="C8" s="18" t="s">
        <v>1</v>
      </c>
      <c r="D8" s="19">
        <f t="shared" ref="D8:E8" si="0">SUM(D9:D17)</f>
        <v>23739397500</v>
      </c>
      <c r="E8" s="19">
        <f t="shared" si="0"/>
        <v>23841997500</v>
      </c>
      <c r="F8" s="19">
        <f>E8-D8</f>
        <v>102600000</v>
      </c>
      <c r="G8" s="19">
        <v>22520224877</v>
      </c>
      <c r="H8" s="19">
        <f t="shared" ref="H8:I8" si="1">SUM(H9:H17)</f>
        <v>29016054000</v>
      </c>
      <c r="I8" s="19">
        <f t="shared" si="1"/>
        <v>28777122500</v>
      </c>
      <c r="J8" s="19">
        <f>I8-H8</f>
        <v>-238931500</v>
      </c>
      <c r="K8" s="19">
        <v>28029454791</v>
      </c>
    </row>
    <row r="9" spans="2:14" ht="45" x14ac:dyDescent="0.25">
      <c r="B9" s="17">
        <v>2132</v>
      </c>
      <c r="C9" s="18" t="s">
        <v>13</v>
      </c>
      <c r="D9" s="20"/>
      <c r="E9" s="20"/>
      <c r="F9" s="20"/>
      <c r="G9" s="20"/>
      <c r="H9" s="20"/>
      <c r="I9" s="20"/>
      <c r="J9" s="20"/>
      <c r="K9" s="20"/>
    </row>
    <row r="10" spans="2:14" x14ac:dyDescent="0.25">
      <c r="B10" s="17"/>
      <c r="C10" s="18"/>
      <c r="D10" s="20"/>
      <c r="E10" s="20"/>
      <c r="F10" s="20"/>
      <c r="G10" s="20"/>
      <c r="H10" s="20"/>
      <c r="I10" s="20"/>
      <c r="J10" s="20"/>
      <c r="K10" s="20"/>
    </row>
    <row r="11" spans="2:14" ht="30" x14ac:dyDescent="0.25">
      <c r="B11" s="17">
        <v>425131</v>
      </c>
      <c r="C11" s="18" t="s">
        <v>14</v>
      </c>
      <c r="D11" s="20"/>
      <c r="E11" s="19">
        <v>52200000</v>
      </c>
      <c r="F11" s="19"/>
      <c r="G11" s="20"/>
      <c r="H11" s="20"/>
      <c r="I11" s="20">
        <v>46315000</v>
      </c>
      <c r="J11" s="20"/>
      <c r="K11" s="20"/>
    </row>
    <row r="12" spans="2:14" x14ac:dyDescent="0.25">
      <c r="B12" s="17"/>
      <c r="C12" s="18"/>
      <c r="D12" s="20"/>
      <c r="E12" s="20"/>
      <c r="F12" s="20"/>
      <c r="G12" s="20"/>
      <c r="H12" s="20"/>
      <c r="I12" s="20"/>
      <c r="J12" s="20"/>
      <c r="K12" s="20"/>
    </row>
    <row r="13" spans="2:14" ht="30" x14ac:dyDescent="0.25">
      <c r="B13" s="17">
        <v>425411</v>
      </c>
      <c r="C13" s="18" t="s">
        <v>2</v>
      </c>
      <c r="D13" s="20">
        <v>108200000</v>
      </c>
      <c r="E13" s="19">
        <v>108200000</v>
      </c>
      <c r="F13" s="19"/>
      <c r="G13" s="20"/>
      <c r="H13" s="20"/>
      <c r="I13" s="20">
        <v>66000000</v>
      </c>
      <c r="J13" s="20"/>
      <c r="K13" s="20"/>
    </row>
    <row r="14" spans="2:14" x14ac:dyDescent="0.25">
      <c r="B14" s="17"/>
      <c r="C14" s="18"/>
      <c r="D14" s="20"/>
      <c r="E14" s="20"/>
      <c r="F14" s="20"/>
      <c r="G14" s="20"/>
      <c r="H14" s="20"/>
      <c r="I14" s="20"/>
      <c r="J14" s="20"/>
      <c r="K14" s="20"/>
    </row>
    <row r="15" spans="2:14" x14ac:dyDescent="0.25">
      <c r="B15" s="17">
        <v>425412</v>
      </c>
      <c r="C15" s="18" t="s">
        <v>3</v>
      </c>
      <c r="D15" s="20">
        <v>23579197500</v>
      </c>
      <c r="E15" s="19">
        <v>23664697500</v>
      </c>
      <c r="F15" s="19"/>
      <c r="G15" s="20"/>
      <c r="H15" s="20">
        <v>29016054000</v>
      </c>
      <c r="I15" s="20">
        <v>28658907500</v>
      </c>
      <c r="J15" s="20"/>
      <c r="K15" s="20"/>
    </row>
    <row r="16" spans="2:14" x14ac:dyDescent="0.25">
      <c r="B16" s="17"/>
      <c r="C16" s="18"/>
      <c r="D16" s="20"/>
      <c r="E16" s="20"/>
      <c r="F16" s="20"/>
      <c r="G16" s="20"/>
      <c r="H16" s="20"/>
      <c r="I16" s="20"/>
      <c r="J16" s="20"/>
      <c r="K16" s="20"/>
    </row>
    <row r="17" spans="2:16" x14ac:dyDescent="0.25">
      <c r="B17" s="17">
        <v>425419</v>
      </c>
      <c r="C17" s="18" t="s">
        <v>4</v>
      </c>
      <c r="D17" s="20">
        <v>52000000</v>
      </c>
      <c r="E17" s="19">
        <v>16900000</v>
      </c>
      <c r="F17" s="19"/>
      <c r="G17" s="20"/>
      <c r="H17" s="20"/>
      <c r="I17" s="20">
        <v>5900000</v>
      </c>
      <c r="J17" s="20"/>
      <c r="K17" s="20"/>
    </row>
    <row r="18" spans="2:16" x14ac:dyDescent="0.25">
      <c r="B18" s="21"/>
      <c r="C18" s="22"/>
      <c r="D18" s="22"/>
      <c r="E18" s="22"/>
      <c r="F18" s="22"/>
      <c r="G18" s="22"/>
      <c r="H18" s="23"/>
      <c r="I18" s="23"/>
      <c r="J18" s="23"/>
      <c r="K18" s="23"/>
      <c r="L18" s="24"/>
      <c r="M18" s="24"/>
      <c r="N18" s="24"/>
    </row>
    <row r="19" spans="2:16" x14ac:dyDescent="0.25">
      <c r="B19" s="21"/>
      <c r="C19" s="22"/>
      <c r="D19" s="22"/>
      <c r="E19" s="22"/>
      <c r="F19" s="22"/>
      <c r="G19" s="22"/>
      <c r="H19" s="23"/>
      <c r="I19" s="23"/>
      <c r="J19" s="23"/>
      <c r="K19" s="23"/>
      <c r="L19" s="24"/>
      <c r="M19" s="24"/>
      <c r="N19" s="24"/>
    </row>
    <row r="20" spans="2:16" ht="15.75" x14ac:dyDescent="0.25">
      <c r="B20" s="99" t="s">
        <v>10</v>
      </c>
      <c r="C20" s="99"/>
      <c r="D20" s="99"/>
      <c r="E20" s="99"/>
      <c r="F20" s="99"/>
      <c r="G20" s="99"/>
      <c r="H20" s="99"/>
      <c r="I20" s="99"/>
      <c r="J20" s="99"/>
      <c r="K20" s="99"/>
      <c r="L20" s="13"/>
      <c r="M20" s="13"/>
      <c r="N20" s="13"/>
    </row>
    <row r="21" spans="2:16" ht="15.75" x14ac:dyDescent="0.25">
      <c r="B21" s="99" t="s">
        <v>11</v>
      </c>
      <c r="C21" s="99"/>
      <c r="D21" s="99"/>
      <c r="E21" s="99"/>
      <c r="F21" s="99"/>
      <c r="G21" s="99"/>
      <c r="H21" s="99"/>
      <c r="I21" s="99"/>
      <c r="J21" s="99"/>
      <c r="K21" s="99"/>
      <c r="L21" s="13"/>
      <c r="M21" s="13"/>
      <c r="N21" s="13"/>
    </row>
    <row r="22" spans="2:16" ht="15.75" x14ac:dyDescent="0.25">
      <c r="B22" s="99" t="s">
        <v>12</v>
      </c>
      <c r="C22" s="99"/>
      <c r="D22" s="99"/>
      <c r="E22" s="99"/>
      <c r="F22" s="99"/>
      <c r="G22" s="99"/>
      <c r="H22" s="99"/>
      <c r="I22" s="99"/>
      <c r="J22" s="99"/>
      <c r="K22" s="99"/>
      <c r="L22" s="13"/>
      <c r="M22" s="13"/>
      <c r="N22" s="13"/>
    </row>
    <row r="23" spans="2:16" x14ac:dyDescent="0.25">
      <c r="B23" s="21"/>
      <c r="C23" s="22"/>
      <c r="D23" s="22"/>
      <c r="E23" s="22"/>
      <c r="F23" s="22"/>
      <c r="G23" s="22"/>
      <c r="H23" s="23"/>
      <c r="I23" s="23"/>
      <c r="J23" s="23"/>
      <c r="K23" s="23"/>
      <c r="L23" s="24"/>
      <c r="M23" s="24"/>
      <c r="N23" s="24"/>
    </row>
    <row r="24" spans="2:16" ht="15.75" x14ac:dyDescent="0.25">
      <c r="P24" s="15"/>
    </row>
    <row r="25" spans="2:16" s="25" customFormat="1" ht="15.75" x14ac:dyDescent="0.25">
      <c r="B25" s="100" t="s">
        <v>5</v>
      </c>
      <c r="C25" s="102" t="s">
        <v>6</v>
      </c>
      <c r="D25" s="107">
        <v>2021</v>
      </c>
      <c r="E25" s="107"/>
      <c r="F25" s="107"/>
      <c r="G25" s="107"/>
      <c r="H25" s="104">
        <v>2022</v>
      </c>
      <c r="I25" s="105"/>
      <c r="J25" s="105"/>
      <c r="K25" s="106"/>
    </row>
    <row r="26" spans="2:16" s="25" customFormat="1" ht="31.5" x14ac:dyDescent="0.25">
      <c r="B26" s="101"/>
      <c r="C26" s="103"/>
      <c r="D26" s="16" t="s">
        <v>9</v>
      </c>
      <c r="E26" s="16" t="s">
        <v>8</v>
      </c>
      <c r="F26" s="16" t="s">
        <v>15</v>
      </c>
      <c r="G26" s="16" t="s">
        <v>7</v>
      </c>
      <c r="H26" s="16" t="s">
        <v>9</v>
      </c>
      <c r="I26" s="16" t="s">
        <v>8</v>
      </c>
      <c r="J26" s="16" t="s">
        <v>15</v>
      </c>
      <c r="K26" s="16" t="s">
        <v>7</v>
      </c>
    </row>
    <row r="27" spans="2:16" x14ac:dyDescent="0.25">
      <c r="B27" s="17" t="s">
        <v>0</v>
      </c>
      <c r="C27" s="18" t="s">
        <v>1</v>
      </c>
      <c r="D27" s="19">
        <f>SUM(D28:D36)</f>
        <v>34233136000</v>
      </c>
      <c r="E27" s="19">
        <f>SUM(E28:E36)</f>
        <v>31513387350</v>
      </c>
      <c r="F27" s="19">
        <f>E27-D27</f>
        <v>-2719748650</v>
      </c>
      <c r="G27" s="19">
        <v>29406540662</v>
      </c>
      <c r="H27" s="19">
        <f>SUM(H28:H36)</f>
        <v>40736775000</v>
      </c>
      <c r="I27" s="19">
        <f>SUM(I28:I36)</f>
        <v>34827238500</v>
      </c>
      <c r="J27" s="19">
        <f>I27-H27</f>
        <v>-5909536500</v>
      </c>
      <c r="K27" s="19">
        <v>30024499426</v>
      </c>
    </row>
    <row r="28" spans="2:16" ht="45" x14ac:dyDescent="0.25">
      <c r="B28" s="17">
        <v>2132</v>
      </c>
      <c r="C28" s="18" t="s">
        <v>13</v>
      </c>
      <c r="D28" s="19"/>
      <c r="E28" s="19"/>
      <c r="F28" s="19"/>
      <c r="G28" s="19"/>
      <c r="H28" s="19"/>
      <c r="I28" s="19"/>
      <c r="J28" s="19"/>
      <c r="K28" s="19"/>
    </row>
    <row r="29" spans="2:16" x14ac:dyDescent="0.25">
      <c r="B29" s="17"/>
      <c r="C29" s="18"/>
      <c r="D29" s="19"/>
      <c r="E29" s="19"/>
      <c r="F29" s="19"/>
      <c r="G29" s="19"/>
      <c r="H29" s="19"/>
      <c r="I29" s="19"/>
      <c r="J29" s="19"/>
      <c r="K29" s="19"/>
    </row>
    <row r="30" spans="2:16" ht="30" x14ac:dyDescent="0.25">
      <c r="B30" s="17">
        <v>425131</v>
      </c>
      <c r="C30" s="18" t="s">
        <v>14</v>
      </c>
      <c r="D30" s="19"/>
      <c r="E30" s="19"/>
      <c r="F30" s="19"/>
      <c r="G30" s="19"/>
      <c r="H30" s="19">
        <v>68000000</v>
      </c>
      <c r="I30" s="19">
        <v>20982000</v>
      </c>
      <c r="J30" s="36"/>
      <c r="K30" s="19"/>
    </row>
    <row r="31" spans="2:16" x14ac:dyDescent="0.25">
      <c r="B31" s="17"/>
      <c r="C31" s="18"/>
      <c r="D31" s="19"/>
      <c r="E31" s="19"/>
      <c r="F31" s="19"/>
      <c r="G31" s="19"/>
      <c r="H31" s="19"/>
      <c r="I31" s="19"/>
      <c r="J31" s="36"/>
      <c r="K31" s="19"/>
    </row>
    <row r="32" spans="2:16" ht="30" x14ac:dyDescent="0.25">
      <c r="B32" s="17">
        <v>425411</v>
      </c>
      <c r="C32" s="18" t="s">
        <v>2</v>
      </c>
      <c r="D32" s="19">
        <v>0</v>
      </c>
      <c r="E32" s="19">
        <v>110350000</v>
      </c>
      <c r="F32" s="19"/>
      <c r="G32" s="19"/>
      <c r="H32" s="19">
        <v>825000000</v>
      </c>
      <c r="I32" s="19">
        <v>94550000</v>
      </c>
      <c r="J32" s="36"/>
      <c r="K32" s="19"/>
    </row>
    <row r="33" spans="2:14" x14ac:dyDescent="0.25">
      <c r="B33" s="17"/>
      <c r="C33" s="18"/>
      <c r="D33" s="19"/>
      <c r="E33" s="19"/>
      <c r="F33" s="19"/>
      <c r="G33" s="19"/>
      <c r="H33" s="19"/>
      <c r="I33" s="19"/>
      <c r="J33" s="36"/>
      <c r="K33" s="19"/>
    </row>
    <row r="34" spans="2:14" x14ac:dyDescent="0.25">
      <c r="B34" s="17">
        <v>425412</v>
      </c>
      <c r="C34" s="18" t="s">
        <v>3</v>
      </c>
      <c r="D34" s="19">
        <v>34233136000</v>
      </c>
      <c r="E34" s="19">
        <v>31403037350</v>
      </c>
      <c r="F34" s="19"/>
      <c r="G34" s="19"/>
      <c r="H34" s="19">
        <v>39618775000</v>
      </c>
      <c r="I34" s="19">
        <v>34711706500</v>
      </c>
      <c r="J34" s="36"/>
      <c r="K34" s="19"/>
    </row>
    <row r="35" spans="2:14" x14ac:dyDescent="0.25">
      <c r="B35" s="17"/>
      <c r="C35" s="18"/>
      <c r="D35" s="19"/>
      <c r="E35" s="19"/>
      <c r="F35" s="19"/>
      <c r="G35" s="19"/>
      <c r="H35" s="19"/>
      <c r="I35" s="19"/>
      <c r="J35" s="19"/>
      <c r="K35" s="19"/>
    </row>
    <row r="36" spans="2:14" x14ac:dyDescent="0.25">
      <c r="B36" s="17">
        <v>425419</v>
      </c>
      <c r="C36" s="18" t="s">
        <v>4</v>
      </c>
      <c r="D36" s="19">
        <v>0</v>
      </c>
      <c r="E36" s="19"/>
      <c r="F36" s="19"/>
      <c r="G36" s="19"/>
      <c r="H36" s="19">
        <v>225000000</v>
      </c>
      <c r="I36" s="19"/>
      <c r="J36" s="19"/>
      <c r="K36" s="19"/>
    </row>
    <row r="40" spans="2:14" ht="15.75" x14ac:dyDescent="0.25">
      <c r="B40" s="99" t="s">
        <v>10</v>
      </c>
      <c r="C40" s="99"/>
      <c r="D40" s="99"/>
      <c r="E40" s="99"/>
      <c r="F40" s="99"/>
      <c r="G40" s="99"/>
      <c r="H40" s="99"/>
      <c r="I40" s="99"/>
      <c r="J40" s="99"/>
      <c r="K40" s="99"/>
      <c r="L40" s="13"/>
      <c r="M40" s="13"/>
      <c r="N40" s="13"/>
    </row>
    <row r="41" spans="2:14" ht="15.75" x14ac:dyDescent="0.25">
      <c r="B41" s="99" t="s">
        <v>11</v>
      </c>
      <c r="C41" s="99"/>
      <c r="D41" s="99"/>
      <c r="E41" s="99"/>
      <c r="F41" s="99"/>
      <c r="G41" s="99"/>
      <c r="H41" s="99"/>
      <c r="I41" s="99"/>
      <c r="J41" s="99"/>
      <c r="K41" s="99"/>
      <c r="L41" s="13"/>
      <c r="M41" s="13"/>
      <c r="N41" s="13"/>
    </row>
    <row r="42" spans="2:14" ht="15.75" x14ac:dyDescent="0.25">
      <c r="B42" s="99" t="s">
        <v>12</v>
      </c>
      <c r="C42" s="99"/>
      <c r="D42" s="99"/>
      <c r="E42" s="99"/>
      <c r="F42" s="99"/>
      <c r="G42" s="99"/>
      <c r="H42" s="99"/>
      <c r="I42" s="99"/>
      <c r="J42" s="99"/>
      <c r="K42" s="99"/>
      <c r="L42" s="13"/>
      <c r="M42" s="13"/>
      <c r="N42" s="13"/>
    </row>
    <row r="45" spans="2:14" ht="15.75" x14ac:dyDescent="0.25">
      <c r="B45" s="28" t="s">
        <v>5</v>
      </c>
      <c r="C45" s="29" t="s">
        <v>6</v>
      </c>
      <c r="D45" s="104">
        <v>2023</v>
      </c>
      <c r="E45" s="105"/>
      <c r="F45" s="105"/>
      <c r="G45" s="106"/>
      <c r="H45" s="104">
        <v>2024</v>
      </c>
      <c r="I45" s="105"/>
      <c r="J45" s="105"/>
      <c r="K45" s="106"/>
    </row>
    <row r="46" spans="2:14" ht="31.5" x14ac:dyDescent="0.25">
      <c r="B46" s="30"/>
      <c r="C46" s="31"/>
      <c r="D46" s="16" t="s">
        <v>9</v>
      </c>
      <c r="E46" s="16" t="s">
        <v>8</v>
      </c>
      <c r="F46" s="16" t="s">
        <v>15</v>
      </c>
      <c r="G46" s="16" t="s">
        <v>7</v>
      </c>
      <c r="H46" s="16" t="s">
        <v>9</v>
      </c>
      <c r="I46" s="16" t="s">
        <v>16</v>
      </c>
      <c r="J46" s="16" t="s">
        <v>15</v>
      </c>
      <c r="K46" s="16" t="s">
        <v>7</v>
      </c>
    </row>
    <row r="47" spans="2:14" x14ac:dyDescent="0.25">
      <c r="B47" s="17" t="s">
        <v>0</v>
      </c>
      <c r="C47" s="18" t="s">
        <v>1</v>
      </c>
      <c r="D47" s="19">
        <f>SUM(D48:D56)</f>
        <v>45468750000</v>
      </c>
      <c r="E47" s="19">
        <f>SUM(E48:E56)</f>
        <v>36448691000</v>
      </c>
      <c r="F47" s="19">
        <f>E47-D47</f>
        <v>-9020059000</v>
      </c>
      <c r="G47" s="19">
        <v>35115289860</v>
      </c>
      <c r="H47" s="19">
        <f>SUM(H48:H56)</f>
        <v>46394224000</v>
      </c>
      <c r="I47" s="19">
        <f>SUM(I48:I56)</f>
        <v>37834200500</v>
      </c>
      <c r="J47" s="19">
        <f>I47-H47</f>
        <v>-8560023500</v>
      </c>
      <c r="K47" s="32"/>
      <c r="M47" s="33"/>
    </row>
    <row r="48" spans="2:14" ht="45" x14ac:dyDescent="0.25">
      <c r="B48" s="17">
        <v>2132</v>
      </c>
      <c r="C48" s="18" t="s">
        <v>13</v>
      </c>
      <c r="D48" s="34"/>
      <c r="E48" s="34"/>
      <c r="F48" s="34"/>
      <c r="G48" s="34"/>
      <c r="H48" s="19"/>
      <c r="I48" s="34"/>
      <c r="J48" s="34"/>
      <c r="K48" s="34"/>
      <c r="M48" s="35"/>
    </row>
    <row r="49" spans="2:14" x14ac:dyDescent="0.25">
      <c r="B49" s="17"/>
      <c r="C49" s="18"/>
      <c r="D49" s="19"/>
      <c r="E49" s="19"/>
      <c r="F49" s="19"/>
      <c r="G49" s="19"/>
      <c r="H49" s="19"/>
      <c r="I49" s="19"/>
      <c r="J49" s="19"/>
      <c r="K49" s="34"/>
    </row>
    <row r="50" spans="2:14" ht="30" x14ac:dyDescent="0.25">
      <c r="B50" s="17">
        <v>425131</v>
      </c>
      <c r="C50" s="18" t="s">
        <v>14</v>
      </c>
      <c r="D50" s="19"/>
      <c r="E50" s="19">
        <v>97132000</v>
      </c>
      <c r="F50" s="19"/>
      <c r="G50" s="19"/>
      <c r="H50" s="19">
        <v>110000000</v>
      </c>
      <c r="I50" s="19">
        <v>52357500</v>
      </c>
      <c r="J50" s="36"/>
      <c r="K50" s="32"/>
    </row>
    <row r="51" spans="2:14" x14ac:dyDescent="0.25">
      <c r="B51" s="17"/>
      <c r="C51" s="18"/>
      <c r="D51" s="19"/>
      <c r="E51" s="19"/>
      <c r="F51" s="19"/>
      <c r="G51" s="19"/>
      <c r="H51" s="19"/>
      <c r="I51" s="19"/>
      <c r="J51" s="19"/>
      <c r="K51" s="32"/>
    </row>
    <row r="52" spans="2:14" ht="30" x14ac:dyDescent="0.25">
      <c r="B52" s="17">
        <v>425411</v>
      </c>
      <c r="C52" s="18" t="s">
        <v>2</v>
      </c>
      <c r="D52" s="19">
        <v>173750000</v>
      </c>
      <c r="E52" s="19">
        <v>113900000</v>
      </c>
      <c r="F52" s="36"/>
      <c r="G52" s="19"/>
      <c r="H52" s="19">
        <v>130000000</v>
      </c>
      <c r="I52" s="19">
        <v>85250000</v>
      </c>
      <c r="J52" s="36"/>
      <c r="K52" s="32"/>
    </row>
    <row r="53" spans="2:14" s="25" customFormat="1" x14ac:dyDescent="0.25">
      <c r="B53" s="17"/>
      <c r="C53" s="18"/>
      <c r="D53" s="19"/>
      <c r="E53" s="19"/>
      <c r="F53" s="19"/>
      <c r="G53" s="19"/>
      <c r="H53" s="19"/>
      <c r="I53" s="19"/>
      <c r="J53" s="19"/>
      <c r="K53" s="32"/>
    </row>
    <row r="54" spans="2:14" s="25" customFormat="1" x14ac:dyDescent="0.25">
      <c r="B54" s="17">
        <v>425412</v>
      </c>
      <c r="C54" s="18" t="s">
        <v>3</v>
      </c>
      <c r="D54" s="19">
        <v>45273400000</v>
      </c>
      <c r="E54" s="19">
        <v>36237659000</v>
      </c>
      <c r="F54" s="36"/>
      <c r="G54" s="19"/>
      <c r="H54" s="19">
        <v>46150000000</v>
      </c>
      <c r="I54" s="19">
        <v>37691473000</v>
      </c>
      <c r="J54" s="36"/>
      <c r="K54" s="32"/>
      <c r="M54" s="33"/>
    </row>
    <row r="55" spans="2:14" x14ac:dyDescent="0.25">
      <c r="B55" s="17"/>
      <c r="C55" s="18"/>
      <c r="D55" s="19"/>
      <c r="E55" s="19"/>
      <c r="F55" s="19"/>
      <c r="G55" s="19"/>
      <c r="H55" s="19"/>
      <c r="I55" s="19"/>
      <c r="J55" s="19"/>
      <c r="K55" s="32"/>
    </row>
    <row r="56" spans="2:14" x14ac:dyDescent="0.25">
      <c r="B56" s="17">
        <v>425419</v>
      </c>
      <c r="C56" s="18" t="s">
        <v>4</v>
      </c>
      <c r="D56" s="19">
        <v>21600000</v>
      </c>
      <c r="E56" s="19"/>
      <c r="F56" s="19"/>
      <c r="G56" s="19"/>
      <c r="H56" s="19">
        <v>4224000</v>
      </c>
      <c r="I56" s="19">
        <v>5120000</v>
      </c>
      <c r="J56" s="36"/>
      <c r="K56" s="32"/>
    </row>
    <row r="57" spans="2:14" x14ac:dyDescent="0.25">
      <c r="B57" s="14"/>
      <c r="C57" s="14"/>
      <c r="D57" s="14"/>
      <c r="E57" s="33"/>
      <c r="F57" s="33"/>
      <c r="G57" s="14"/>
      <c r="H57" s="14"/>
      <c r="I57" s="14"/>
      <c r="J57" s="14"/>
      <c r="K57" s="14"/>
    </row>
    <row r="58" spans="2:14" x14ac:dyDescent="0.25"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2:14" ht="15.75" x14ac:dyDescent="0.25"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13"/>
      <c r="M59" s="13"/>
      <c r="N59" s="13"/>
    </row>
    <row r="60" spans="2:14" ht="15.75" x14ac:dyDescent="0.25">
      <c r="B60" s="99" t="s">
        <v>11</v>
      </c>
      <c r="C60" s="99"/>
      <c r="D60" s="99"/>
      <c r="E60" s="99"/>
      <c r="F60" s="99"/>
      <c r="G60" s="99"/>
      <c r="H60" s="99"/>
      <c r="I60" s="99"/>
      <c r="J60" s="99"/>
      <c r="K60" s="99"/>
      <c r="L60" s="13"/>
      <c r="M60" s="13"/>
      <c r="N60" s="13"/>
    </row>
    <row r="61" spans="2:14" ht="15.75" x14ac:dyDescent="0.25">
      <c r="B61" s="99" t="s">
        <v>12</v>
      </c>
      <c r="C61" s="99"/>
      <c r="D61" s="99"/>
      <c r="E61" s="99"/>
      <c r="F61" s="99"/>
      <c r="G61" s="99"/>
      <c r="H61" s="99"/>
      <c r="I61" s="99"/>
      <c r="J61" s="99"/>
      <c r="K61" s="99"/>
      <c r="L61" s="13"/>
      <c r="M61" s="13"/>
      <c r="N61" s="13"/>
    </row>
    <row r="62" spans="2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 spans="2:14" x14ac:dyDescent="0.25"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spans="2:14" ht="15.75" x14ac:dyDescent="0.25">
      <c r="B64" s="100" t="s">
        <v>5</v>
      </c>
      <c r="C64" s="102" t="s">
        <v>6</v>
      </c>
      <c r="D64" s="104">
        <v>2025</v>
      </c>
      <c r="E64" s="105"/>
      <c r="F64" s="105"/>
      <c r="G64" s="106"/>
      <c r="H64" s="104">
        <v>2026</v>
      </c>
      <c r="I64" s="105"/>
      <c r="J64" s="105"/>
      <c r="K64" s="106"/>
    </row>
    <row r="65" spans="2:14" ht="31.5" x14ac:dyDescent="0.25">
      <c r="B65" s="101"/>
      <c r="C65" s="103"/>
      <c r="D65" s="16" t="s">
        <v>9</v>
      </c>
      <c r="E65" s="16" t="s">
        <v>8</v>
      </c>
      <c r="F65" s="16" t="s">
        <v>15</v>
      </c>
      <c r="G65" s="16" t="s">
        <v>7</v>
      </c>
      <c r="H65" s="16" t="s">
        <v>9</v>
      </c>
      <c r="I65" s="16" t="s">
        <v>8</v>
      </c>
      <c r="J65" s="16" t="s">
        <v>15</v>
      </c>
      <c r="K65" s="16" t="s">
        <v>7</v>
      </c>
    </row>
    <row r="66" spans="2:14" x14ac:dyDescent="0.25">
      <c r="B66" s="17" t="s">
        <v>0</v>
      </c>
      <c r="C66" s="18" t="s">
        <v>1</v>
      </c>
      <c r="D66" s="19">
        <f>SUM(D67:D75)</f>
        <v>46994400000</v>
      </c>
      <c r="E66" s="19">
        <f>SUM(E67:E75)</f>
        <v>38624678750</v>
      </c>
      <c r="F66" s="19">
        <f>E66-D66</f>
        <v>-8369721250</v>
      </c>
      <c r="G66" s="19"/>
      <c r="H66" s="19">
        <f>SUM(H67:H75)</f>
        <v>38670350000</v>
      </c>
      <c r="I66" s="19"/>
      <c r="J66" s="19"/>
      <c r="K66" s="34"/>
    </row>
    <row r="67" spans="2:14" ht="45" x14ac:dyDescent="0.25">
      <c r="B67" s="17">
        <v>2132</v>
      </c>
      <c r="C67" s="18" t="s">
        <v>13</v>
      </c>
      <c r="D67" s="34"/>
      <c r="E67" s="34"/>
      <c r="F67" s="34"/>
      <c r="G67" s="34"/>
      <c r="H67" s="19"/>
      <c r="I67" s="34"/>
      <c r="J67" s="34"/>
      <c r="K67" s="34"/>
    </row>
    <row r="68" spans="2:14" x14ac:dyDescent="0.25">
      <c r="B68" s="17"/>
      <c r="C68" s="18"/>
      <c r="D68" s="19"/>
      <c r="E68" s="19"/>
      <c r="F68" s="19"/>
      <c r="G68" s="19"/>
      <c r="H68" s="19"/>
      <c r="I68" s="19"/>
      <c r="J68" s="19"/>
      <c r="K68" s="34"/>
    </row>
    <row r="69" spans="2:14" ht="30" x14ac:dyDescent="0.25">
      <c r="B69" s="17">
        <v>425131</v>
      </c>
      <c r="C69" s="18" t="s">
        <v>14</v>
      </c>
      <c r="D69" s="19">
        <v>110000000</v>
      </c>
      <c r="E69" s="19">
        <v>64019750</v>
      </c>
      <c r="F69" s="19"/>
      <c r="G69" s="19"/>
      <c r="H69" s="19">
        <v>75000000</v>
      </c>
      <c r="I69" s="19"/>
      <c r="J69" s="19"/>
      <c r="K69" s="34"/>
    </row>
    <row r="70" spans="2:14" x14ac:dyDescent="0.25">
      <c r="B70" s="17"/>
      <c r="C70" s="18"/>
      <c r="D70" s="19"/>
      <c r="E70" s="19"/>
      <c r="F70" s="19"/>
      <c r="G70" s="19"/>
      <c r="H70" s="19"/>
      <c r="I70" s="19"/>
      <c r="J70" s="19"/>
      <c r="K70" s="34"/>
    </row>
    <row r="71" spans="2:14" ht="30" x14ac:dyDescent="0.25">
      <c r="B71" s="17">
        <v>425411</v>
      </c>
      <c r="C71" s="18" t="s">
        <v>2</v>
      </c>
      <c r="D71" s="19">
        <v>130000000</v>
      </c>
      <c r="E71" s="19">
        <v>102400000</v>
      </c>
      <c r="F71" s="19"/>
      <c r="G71" s="19"/>
      <c r="H71" s="19">
        <v>90000000</v>
      </c>
      <c r="I71" s="19"/>
      <c r="J71" s="19"/>
      <c r="K71" s="34"/>
    </row>
    <row r="72" spans="2:14" x14ac:dyDescent="0.25">
      <c r="B72" s="17"/>
      <c r="C72" s="18"/>
      <c r="D72" s="19"/>
      <c r="E72" s="19"/>
      <c r="F72" s="19"/>
      <c r="G72" s="19"/>
      <c r="H72" s="19"/>
      <c r="I72" s="19"/>
      <c r="J72" s="19"/>
      <c r="K72" s="34"/>
    </row>
    <row r="73" spans="2:14" x14ac:dyDescent="0.25">
      <c r="B73" s="17">
        <v>425412</v>
      </c>
      <c r="C73" s="18" t="s">
        <v>3</v>
      </c>
      <c r="D73" s="19">
        <f>H54+(1.3%*H54)</f>
        <v>46749950000</v>
      </c>
      <c r="E73" s="19">
        <v>38458259000</v>
      </c>
      <c r="F73" s="19"/>
      <c r="G73" s="19"/>
      <c r="H73" s="19">
        <v>38500000000</v>
      </c>
      <c r="I73" s="19"/>
      <c r="J73" s="19"/>
      <c r="K73" s="34"/>
    </row>
    <row r="74" spans="2:14" x14ac:dyDescent="0.25">
      <c r="B74" s="17"/>
      <c r="C74" s="18"/>
      <c r="D74" s="19"/>
      <c r="E74" s="19"/>
      <c r="F74" s="19"/>
      <c r="G74" s="19"/>
      <c r="H74" s="19"/>
      <c r="I74" s="19"/>
      <c r="J74" s="19"/>
      <c r="K74" s="34"/>
    </row>
    <row r="75" spans="2:14" x14ac:dyDescent="0.25">
      <c r="B75" s="17">
        <v>425419</v>
      </c>
      <c r="C75" s="18" t="s">
        <v>4</v>
      </c>
      <c r="D75" s="19">
        <v>4450000</v>
      </c>
      <c r="E75" s="19"/>
      <c r="F75" s="19"/>
      <c r="G75" s="19"/>
      <c r="H75" s="19">
        <v>5350000</v>
      </c>
      <c r="I75" s="19"/>
      <c r="J75" s="19"/>
      <c r="K75" s="34"/>
    </row>
    <row r="79" spans="2:14" ht="15.75" x14ac:dyDescent="0.25">
      <c r="B79" s="99" t="s">
        <v>10</v>
      </c>
      <c r="C79" s="99"/>
      <c r="D79" s="99"/>
      <c r="E79" s="99"/>
      <c r="F79" s="99"/>
      <c r="G79" s="99"/>
      <c r="H79" s="99"/>
      <c r="I79" s="99"/>
      <c r="J79" s="99"/>
      <c r="K79" s="99"/>
      <c r="L79" s="13"/>
      <c r="M79" s="13"/>
      <c r="N79" s="13"/>
    </row>
    <row r="80" spans="2:14" ht="15.75" x14ac:dyDescent="0.25">
      <c r="B80" s="99" t="s">
        <v>11</v>
      </c>
      <c r="C80" s="99"/>
      <c r="D80" s="99"/>
      <c r="E80" s="99"/>
      <c r="F80" s="99"/>
      <c r="G80" s="99"/>
      <c r="H80" s="99"/>
      <c r="I80" s="99"/>
      <c r="J80" s="99"/>
      <c r="K80" s="99"/>
      <c r="L80" s="13"/>
      <c r="M80" s="13"/>
      <c r="N80" s="13"/>
    </row>
    <row r="81" spans="2:14" ht="15.75" x14ac:dyDescent="0.25">
      <c r="B81" s="99" t="s">
        <v>12</v>
      </c>
      <c r="C81" s="99"/>
      <c r="D81" s="99"/>
      <c r="E81" s="99"/>
      <c r="F81" s="99"/>
      <c r="G81" s="99"/>
      <c r="H81" s="99"/>
      <c r="I81" s="99"/>
      <c r="J81" s="99"/>
      <c r="K81" s="99"/>
      <c r="L81" s="13"/>
      <c r="M81" s="13"/>
      <c r="N81" s="13"/>
    </row>
    <row r="82" spans="2:14" x14ac:dyDescent="0.25">
      <c r="B82" s="14"/>
      <c r="C82" s="14"/>
      <c r="D82" s="14"/>
      <c r="E82" s="14"/>
      <c r="F82" s="14"/>
      <c r="G82" s="14"/>
    </row>
    <row r="83" spans="2:14" x14ac:dyDescent="0.25">
      <c r="B83" s="14"/>
      <c r="C83" s="14"/>
      <c r="D83" s="14"/>
      <c r="E83" s="14"/>
      <c r="F83" s="14"/>
      <c r="G83" s="14"/>
    </row>
    <row r="84" spans="2:14" ht="15.75" x14ac:dyDescent="0.25">
      <c r="B84" s="100" t="s">
        <v>5</v>
      </c>
      <c r="C84" s="102" t="s">
        <v>6</v>
      </c>
      <c r="D84" s="104">
        <v>2027</v>
      </c>
      <c r="E84" s="105"/>
      <c r="F84" s="105"/>
      <c r="G84" s="106"/>
      <c r="H84" s="104">
        <v>2028</v>
      </c>
      <c r="I84" s="105"/>
      <c r="J84" s="105"/>
      <c r="K84" s="106"/>
    </row>
    <row r="85" spans="2:14" ht="31.5" x14ac:dyDescent="0.25">
      <c r="B85" s="101"/>
      <c r="C85" s="103"/>
      <c r="D85" s="16" t="s">
        <v>9</v>
      </c>
      <c r="E85" s="16" t="s">
        <v>8</v>
      </c>
      <c r="F85" s="16" t="s">
        <v>15</v>
      </c>
      <c r="G85" s="16" t="s">
        <v>7</v>
      </c>
      <c r="H85" s="16" t="s">
        <v>9</v>
      </c>
      <c r="I85" s="16" t="s">
        <v>8</v>
      </c>
      <c r="J85" s="16" t="s">
        <v>15</v>
      </c>
      <c r="K85" s="16" t="s">
        <v>7</v>
      </c>
    </row>
    <row r="86" spans="2:14" x14ac:dyDescent="0.25">
      <c r="B86" s="17" t="s">
        <v>0</v>
      </c>
      <c r="C86" s="18" t="s">
        <v>1</v>
      </c>
      <c r="D86" s="19">
        <f>SUM(D87:D95)</f>
        <v>39380750000</v>
      </c>
      <c r="E86" s="117"/>
      <c r="F86" s="19"/>
      <c r="G86" s="19"/>
      <c r="H86" s="19">
        <f>SUM(H87:H95)</f>
        <v>40441250000</v>
      </c>
      <c r="I86" s="117"/>
      <c r="J86" s="19"/>
      <c r="K86" s="34"/>
    </row>
    <row r="87" spans="2:14" ht="45" x14ac:dyDescent="0.25">
      <c r="B87" s="17">
        <v>2132</v>
      </c>
      <c r="C87" s="18" t="s">
        <v>13</v>
      </c>
      <c r="D87" s="34"/>
      <c r="E87" s="34"/>
      <c r="F87" s="34"/>
      <c r="G87" s="34"/>
      <c r="H87" s="19"/>
      <c r="I87" s="34"/>
      <c r="J87" s="34"/>
      <c r="K87" s="34"/>
    </row>
    <row r="88" spans="2:14" x14ac:dyDescent="0.25">
      <c r="B88" s="17"/>
      <c r="C88" s="18"/>
      <c r="D88" s="19"/>
      <c r="E88" s="19"/>
      <c r="F88" s="19"/>
      <c r="G88" s="19"/>
      <c r="H88" s="19"/>
      <c r="I88" s="19"/>
      <c r="J88" s="19"/>
      <c r="K88" s="34"/>
    </row>
    <row r="89" spans="2:14" ht="30" x14ac:dyDescent="0.25">
      <c r="B89" s="17">
        <v>425131</v>
      </c>
      <c r="C89" s="18" t="s">
        <v>14</v>
      </c>
      <c r="D89" s="19">
        <v>80000000</v>
      </c>
      <c r="E89" s="19"/>
      <c r="F89" s="19"/>
      <c r="G89" s="19"/>
      <c r="H89" s="19">
        <v>85000000</v>
      </c>
      <c r="I89" s="19"/>
      <c r="J89" s="19"/>
      <c r="K89" s="34"/>
    </row>
    <row r="90" spans="2:14" x14ac:dyDescent="0.25">
      <c r="B90" s="17"/>
      <c r="C90" s="18"/>
      <c r="D90" s="19"/>
      <c r="E90" s="19"/>
      <c r="F90" s="19"/>
      <c r="G90" s="19"/>
      <c r="H90" s="19"/>
      <c r="I90" s="19"/>
      <c r="J90" s="19"/>
      <c r="K90" s="34"/>
    </row>
    <row r="91" spans="2:14" ht="30" x14ac:dyDescent="0.25">
      <c r="B91" s="17">
        <v>425411</v>
      </c>
      <c r="C91" s="18" t="s">
        <v>2</v>
      </c>
      <c r="D91" s="19">
        <v>95000000</v>
      </c>
      <c r="E91" s="19"/>
      <c r="F91" s="19"/>
      <c r="G91" s="19"/>
      <c r="H91" s="19">
        <v>100000000</v>
      </c>
      <c r="I91" s="19"/>
      <c r="J91" s="19"/>
      <c r="K91" s="34"/>
    </row>
    <row r="92" spans="2:14" x14ac:dyDescent="0.25">
      <c r="B92" s="17"/>
      <c r="C92" s="18"/>
      <c r="D92" s="19"/>
      <c r="E92" s="19"/>
      <c r="F92" s="19"/>
      <c r="G92" s="19"/>
      <c r="H92" s="19"/>
      <c r="I92" s="19"/>
      <c r="J92" s="19"/>
      <c r="K92" s="34"/>
    </row>
    <row r="93" spans="2:14" x14ac:dyDescent="0.25">
      <c r="B93" s="17">
        <v>425412</v>
      </c>
      <c r="C93" s="18" t="s">
        <v>3</v>
      </c>
      <c r="D93" s="19">
        <v>39200000000</v>
      </c>
      <c r="E93" s="19"/>
      <c r="F93" s="19"/>
      <c r="G93" s="19"/>
      <c r="H93" s="19">
        <v>40250000000</v>
      </c>
      <c r="I93" s="19"/>
      <c r="J93" s="19"/>
      <c r="K93" s="34"/>
    </row>
    <row r="94" spans="2:14" x14ac:dyDescent="0.25">
      <c r="B94" s="17"/>
      <c r="C94" s="18"/>
      <c r="D94" s="19"/>
      <c r="E94" s="19"/>
      <c r="F94" s="19"/>
      <c r="G94" s="19"/>
      <c r="H94" s="19"/>
      <c r="I94" s="19"/>
      <c r="J94" s="19"/>
      <c r="K94" s="34"/>
    </row>
    <row r="95" spans="2:14" x14ac:dyDescent="0.25">
      <c r="B95" s="17">
        <v>425419</v>
      </c>
      <c r="C95" s="18" t="s">
        <v>4</v>
      </c>
      <c r="D95" s="19">
        <v>5750000</v>
      </c>
      <c r="E95" s="19"/>
      <c r="F95" s="19"/>
      <c r="G95" s="19"/>
      <c r="H95" s="19">
        <v>6250000</v>
      </c>
      <c r="I95" s="19"/>
      <c r="J95" s="19"/>
      <c r="K95" s="34"/>
    </row>
    <row r="99" spans="2:11" ht="15.75" x14ac:dyDescent="0.25">
      <c r="B99" s="99" t="s">
        <v>10</v>
      </c>
      <c r="C99" s="99"/>
      <c r="D99" s="99"/>
      <c r="E99" s="99"/>
      <c r="F99" s="99"/>
      <c r="G99" s="99"/>
      <c r="H99" s="99"/>
      <c r="I99" s="99"/>
      <c r="J99" s="99"/>
      <c r="K99" s="99"/>
    </row>
    <row r="100" spans="2:11" ht="15.75" x14ac:dyDescent="0.25">
      <c r="B100" s="99" t="s">
        <v>11</v>
      </c>
      <c r="C100" s="99"/>
      <c r="D100" s="99"/>
      <c r="E100" s="99"/>
      <c r="F100" s="99"/>
      <c r="G100" s="99"/>
      <c r="H100" s="99"/>
      <c r="I100" s="99"/>
      <c r="J100" s="99"/>
      <c r="K100" s="99"/>
    </row>
    <row r="101" spans="2:11" ht="15.75" x14ac:dyDescent="0.25">
      <c r="B101" s="99" t="s">
        <v>12</v>
      </c>
      <c r="C101" s="99"/>
      <c r="D101" s="99"/>
      <c r="E101" s="99"/>
      <c r="F101" s="99"/>
      <c r="G101" s="99"/>
      <c r="H101" s="99"/>
      <c r="I101" s="99"/>
      <c r="J101" s="99"/>
      <c r="K101" s="99"/>
    </row>
    <row r="102" spans="2:11" x14ac:dyDescent="0.25">
      <c r="B102" s="14"/>
      <c r="C102" s="14"/>
      <c r="D102" s="14"/>
      <c r="E102" s="14"/>
      <c r="F102" s="14"/>
      <c r="G102" s="14"/>
    </row>
    <row r="103" spans="2:11" x14ac:dyDescent="0.25">
      <c r="B103" s="14"/>
      <c r="C103" s="14"/>
      <c r="D103" s="14"/>
      <c r="E103" s="14"/>
      <c r="F103" s="14"/>
      <c r="G103" s="14"/>
    </row>
    <row r="104" spans="2:11" ht="15.75" x14ac:dyDescent="0.25">
      <c r="B104" s="100" t="s">
        <v>5</v>
      </c>
      <c r="C104" s="102" t="s">
        <v>6</v>
      </c>
      <c r="D104" s="104">
        <v>2029</v>
      </c>
      <c r="E104" s="105"/>
      <c r="F104" s="105"/>
      <c r="G104" s="106"/>
      <c r="H104" s="104">
        <v>2030</v>
      </c>
      <c r="I104" s="105"/>
      <c r="J104" s="105"/>
      <c r="K104" s="106"/>
    </row>
    <row r="105" spans="2:11" ht="31.5" x14ac:dyDescent="0.25">
      <c r="B105" s="101"/>
      <c r="C105" s="103"/>
      <c r="D105" s="16" t="s">
        <v>9</v>
      </c>
      <c r="E105" s="16" t="s">
        <v>8</v>
      </c>
      <c r="F105" s="16" t="s">
        <v>15</v>
      </c>
      <c r="G105" s="16" t="s">
        <v>7</v>
      </c>
      <c r="H105" s="16" t="s">
        <v>9</v>
      </c>
      <c r="I105" s="16" t="s">
        <v>8</v>
      </c>
      <c r="J105" s="16" t="s">
        <v>15</v>
      </c>
      <c r="K105" s="16" t="s">
        <v>7</v>
      </c>
    </row>
    <row r="106" spans="2:11" x14ac:dyDescent="0.25">
      <c r="B106" s="17" t="s">
        <v>0</v>
      </c>
      <c r="C106" s="18" t="s">
        <v>1</v>
      </c>
      <c r="D106" s="19">
        <f>SUM(D107:D115)</f>
        <v>40961075000</v>
      </c>
      <c r="E106" s="117"/>
      <c r="F106" s="19"/>
      <c r="G106" s="19"/>
      <c r="H106" s="19">
        <f>SUM(H107:H115)</f>
        <v>41748950000</v>
      </c>
      <c r="I106" s="117"/>
      <c r="J106" s="19"/>
      <c r="K106" s="34"/>
    </row>
    <row r="107" spans="2:11" ht="45" x14ac:dyDescent="0.25">
      <c r="B107" s="17">
        <v>2132</v>
      </c>
      <c r="C107" s="18" t="s">
        <v>13</v>
      </c>
      <c r="D107" s="34"/>
      <c r="E107" s="34"/>
      <c r="F107" s="34"/>
      <c r="G107" s="34"/>
      <c r="H107" s="19"/>
      <c r="I107" s="34"/>
      <c r="J107" s="34"/>
      <c r="K107" s="34"/>
    </row>
    <row r="108" spans="2:11" x14ac:dyDescent="0.25">
      <c r="B108" s="17"/>
      <c r="C108" s="18"/>
      <c r="D108" s="19"/>
      <c r="E108" s="19"/>
      <c r="F108" s="19"/>
      <c r="G108" s="19"/>
      <c r="H108" s="19"/>
      <c r="I108" s="19"/>
      <c r="J108" s="19"/>
      <c r="K108" s="34"/>
    </row>
    <row r="109" spans="2:11" ht="30" x14ac:dyDescent="0.25">
      <c r="B109" s="17">
        <v>425131</v>
      </c>
      <c r="C109" s="18" t="s">
        <v>14</v>
      </c>
      <c r="D109" s="19">
        <v>95000000</v>
      </c>
      <c r="E109" s="19"/>
      <c r="F109" s="19"/>
      <c r="G109" s="19"/>
      <c r="H109" s="19">
        <v>130000000</v>
      </c>
      <c r="I109" s="19"/>
      <c r="J109" s="19"/>
      <c r="K109" s="34"/>
    </row>
    <row r="110" spans="2:11" x14ac:dyDescent="0.25">
      <c r="B110" s="17"/>
      <c r="C110" s="18"/>
      <c r="D110" s="19"/>
      <c r="E110" s="19"/>
      <c r="F110" s="19"/>
      <c r="G110" s="19"/>
      <c r="H110" s="19"/>
      <c r="I110" s="19"/>
      <c r="J110" s="19"/>
      <c r="K110" s="34"/>
    </row>
    <row r="111" spans="2:11" ht="30" x14ac:dyDescent="0.25">
      <c r="B111" s="17">
        <v>425411</v>
      </c>
      <c r="C111" s="18" t="s">
        <v>2</v>
      </c>
      <c r="D111" s="19">
        <v>110000000</v>
      </c>
      <c r="E111" s="19"/>
      <c r="F111" s="19"/>
      <c r="G111" s="19"/>
      <c r="H111" s="19">
        <v>115000000</v>
      </c>
      <c r="I111" s="19"/>
      <c r="J111" s="19"/>
      <c r="K111" s="34"/>
    </row>
    <row r="112" spans="2:11" x14ac:dyDescent="0.25">
      <c r="B112" s="17"/>
      <c r="C112" s="18"/>
      <c r="D112" s="19"/>
      <c r="E112" s="19"/>
      <c r="F112" s="19"/>
      <c r="G112" s="19"/>
      <c r="H112" s="19"/>
      <c r="I112" s="19"/>
      <c r="J112" s="19"/>
      <c r="K112" s="34"/>
    </row>
    <row r="113" spans="2:11" x14ac:dyDescent="0.25">
      <c r="B113" s="17">
        <v>425412</v>
      </c>
      <c r="C113" s="18" t="s">
        <v>3</v>
      </c>
      <c r="D113" s="19">
        <v>40750000000</v>
      </c>
      <c r="E113" s="19"/>
      <c r="F113" s="19"/>
      <c r="G113" s="19"/>
      <c r="H113" s="19">
        <v>41500000000</v>
      </c>
      <c r="I113" s="19"/>
      <c r="J113" s="19"/>
      <c r="K113" s="34"/>
    </row>
    <row r="114" spans="2:11" x14ac:dyDescent="0.25">
      <c r="B114" s="17"/>
      <c r="C114" s="18"/>
      <c r="D114" s="19"/>
      <c r="E114" s="19"/>
      <c r="F114" s="19"/>
      <c r="G114" s="19"/>
      <c r="H114" s="19"/>
      <c r="I114" s="19"/>
      <c r="J114" s="19"/>
      <c r="K114" s="34"/>
    </row>
    <row r="115" spans="2:11" x14ac:dyDescent="0.25">
      <c r="B115" s="17">
        <v>425419</v>
      </c>
      <c r="C115" s="18" t="s">
        <v>4</v>
      </c>
      <c r="D115" s="19">
        <v>6075000</v>
      </c>
      <c r="E115" s="19"/>
      <c r="F115" s="19"/>
      <c r="G115" s="19"/>
      <c r="H115" s="19">
        <v>3950000</v>
      </c>
      <c r="I115" s="19"/>
      <c r="J115" s="19"/>
      <c r="K115" s="34"/>
    </row>
    <row r="119" spans="2:11" ht="15.75" x14ac:dyDescent="0.25">
      <c r="B119" s="99" t="s">
        <v>10</v>
      </c>
      <c r="C119" s="99"/>
      <c r="D119" s="99"/>
      <c r="E119" s="99"/>
      <c r="F119" s="99"/>
      <c r="G119" s="99"/>
      <c r="H119" s="99"/>
      <c r="I119" s="99"/>
      <c r="J119" s="99"/>
      <c r="K119" s="99"/>
    </row>
    <row r="120" spans="2:11" ht="15.75" x14ac:dyDescent="0.25">
      <c r="B120" s="99" t="s">
        <v>11</v>
      </c>
      <c r="C120" s="99"/>
      <c r="D120" s="99"/>
      <c r="E120" s="99"/>
      <c r="F120" s="99"/>
      <c r="G120" s="99"/>
      <c r="H120" s="99"/>
      <c r="I120" s="99"/>
      <c r="J120" s="99"/>
      <c r="K120" s="99"/>
    </row>
    <row r="121" spans="2:11" ht="15.75" x14ac:dyDescent="0.25">
      <c r="B121" s="99" t="s">
        <v>12</v>
      </c>
      <c r="C121" s="99"/>
      <c r="D121" s="99"/>
      <c r="E121" s="99"/>
      <c r="F121" s="99"/>
      <c r="G121" s="99"/>
      <c r="H121" s="99"/>
      <c r="I121" s="99"/>
      <c r="J121" s="99"/>
      <c r="K121" s="99"/>
    </row>
    <row r="122" spans="2:11" x14ac:dyDescent="0.25">
      <c r="B122" s="14"/>
      <c r="C122" s="14"/>
      <c r="D122" s="14"/>
      <c r="E122" s="14"/>
      <c r="F122" s="14"/>
      <c r="G122" s="14"/>
    </row>
    <row r="123" spans="2:11" x14ac:dyDescent="0.25">
      <c r="B123" s="14"/>
      <c r="C123" s="14"/>
      <c r="D123" s="14"/>
      <c r="E123" s="14"/>
      <c r="F123" s="14"/>
      <c r="G123" s="14"/>
    </row>
    <row r="124" spans="2:11" ht="15.75" x14ac:dyDescent="0.25">
      <c r="B124" s="100" t="s">
        <v>5</v>
      </c>
      <c r="C124" s="102" t="s">
        <v>6</v>
      </c>
      <c r="D124" s="104">
        <v>2031</v>
      </c>
      <c r="E124" s="105"/>
      <c r="F124" s="105"/>
      <c r="G124" s="106"/>
      <c r="H124" s="104">
        <v>2032</v>
      </c>
      <c r="I124" s="105"/>
      <c r="J124" s="105"/>
      <c r="K124" s="106"/>
    </row>
    <row r="125" spans="2:11" ht="31.5" x14ac:dyDescent="0.25">
      <c r="B125" s="101"/>
      <c r="C125" s="103"/>
      <c r="D125" s="16" t="s">
        <v>9</v>
      </c>
      <c r="E125" s="16" t="s">
        <v>8</v>
      </c>
      <c r="F125" s="16" t="s">
        <v>15</v>
      </c>
      <c r="G125" s="16" t="s">
        <v>7</v>
      </c>
      <c r="H125" s="16" t="s">
        <v>9</v>
      </c>
      <c r="I125" s="16" t="s">
        <v>8</v>
      </c>
      <c r="J125" s="16" t="s">
        <v>15</v>
      </c>
      <c r="K125" s="16" t="s">
        <v>7</v>
      </c>
    </row>
    <row r="126" spans="2:11" x14ac:dyDescent="0.25">
      <c r="B126" s="17" t="s">
        <v>0</v>
      </c>
      <c r="C126" s="18" t="s">
        <v>1</v>
      </c>
      <c r="D126" s="19">
        <f>SUM(D127:D135)</f>
        <v>42779125000</v>
      </c>
      <c r="E126" s="19">
        <f>SUM(E127:E135)</f>
        <v>0</v>
      </c>
      <c r="F126" s="19"/>
      <c r="G126" s="19"/>
      <c r="H126" s="19">
        <f>SUM(H127:H135)</f>
        <v>43239250000</v>
      </c>
      <c r="I126" s="19"/>
      <c r="J126" s="19"/>
      <c r="K126" s="34"/>
    </row>
    <row r="127" spans="2:11" ht="45" x14ac:dyDescent="0.25">
      <c r="B127" s="17">
        <v>2132</v>
      </c>
      <c r="C127" s="18" t="s">
        <v>13</v>
      </c>
      <c r="D127" s="34"/>
      <c r="E127" s="34"/>
      <c r="F127" s="34"/>
      <c r="G127" s="34"/>
      <c r="H127" s="19"/>
      <c r="I127" s="34"/>
      <c r="J127" s="34"/>
      <c r="K127" s="34"/>
    </row>
    <row r="128" spans="2:11" x14ac:dyDescent="0.25">
      <c r="B128" s="17"/>
      <c r="C128" s="18"/>
      <c r="D128" s="19"/>
      <c r="E128" s="19"/>
      <c r="F128" s="19"/>
      <c r="G128" s="19"/>
      <c r="H128" s="19"/>
      <c r="I128" s="19"/>
      <c r="J128" s="19"/>
      <c r="K128" s="34"/>
    </row>
    <row r="129" spans="2:11" ht="30" x14ac:dyDescent="0.25">
      <c r="B129" s="17">
        <v>425131</v>
      </c>
      <c r="C129" s="18" t="s">
        <v>14</v>
      </c>
      <c r="D129" s="19">
        <v>125000000</v>
      </c>
      <c r="E129" s="19"/>
      <c r="F129" s="19"/>
      <c r="G129" s="19"/>
      <c r="H129" s="19">
        <v>130000000</v>
      </c>
      <c r="I129" s="19"/>
      <c r="J129" s="19"/>
      <c r="K129" s="34"/>
    </row>
    <row r="130" spans="2:11" x14ac:dyDescent="0.25">
      <c r="B130" s="17"/>
      <c r="C130" s="18"/>
      <c r="D130" s="19"/>
      <c r="E130" s="19"/>
      <c r="F130" s="19"/>
      <c r="G130" s="19"/>
      <c r="H130" s="19"/>
      <c r="I130" s="19"/>
      <c r="J130" s="19"/>
      <c r="K130" s="34"/>
    </row>
    <row r="131" spans="2:11" ht="30" x14ac:dyDescent="0.25">
      <c r="B131" s="17">
        <v>425411</v>
      </c>
      <c r="C131" s="18" t="s">
        <v>2</v>
      </c>
      <c r="D131" s="19">
        <v>150000000</v>
      </c>
      <c r="E131" s="19"/>
      <c r="F131" s="19"/>
      <c r="G131" s="19"/>
      <c r="H131" s="19">
        <v>155000000</v>
      </c>
      <c r="I131" s="19"/>
      <c r="J131" s="19"/>
      <c r="K131" s="34"/>
    </row>
    <row r="132" spans="2:11" x14ac:dyDescent="0.25">
      <c r="B132" s="17"/>
      <c r="C132" s="18"/>
      <c r="D132" s="19"/>
      <c r="E132" s="19"/>
      <c r="F132" s="19"/>
      <c r="G132" s="19"/>
      <c r="H132" s="19"/>
      <c r="I132" s="19"/>
      <c r="J132" s="19"/>
      <c r="K132" s="34"/>
    </row>
    <row r="133" spans="2:11" x14ac:dyDescent="0.25">
      <c r="B133" s="17">
        <v>425412</v>
      </c>
      <c r="C133" s="18" t="s">
        <v>3</v>
      </c>
      <c r="D133" s="19">
        <v>42500000000</v>
      </c>
      <c r="E133" s="19"/>
      <c r="F133" s="19"/>
      <c r="G133" s="19"/>
      <c r="H133" s="19">
        <v>42950000000</v>
      </c>
      <c r="I133" s="19"/>
      <c r="J133" s="19"/>
      <c r="K133" s="34"/>
    </row>
    <row r="134" spans="2:11" x14ac:dyDescent="0.25">
      <c r="B134" s="17"/>
      <c r="C134" s="18"/>
      <c r="D134" s="19"/>
      <c r="E134" s="19"/>
      <c r="F134" s="19"/>
      <c r="G134" s="19"/>
      <c r="H134" s="19"/>
      <c r="I134" s="19"/>
      <c r="J134" s="19"/>
      <c r="K134" s="34"/>
    </row>
    <row r="135" spans="2:11" x14ac:dyDescent="0.25">
      <c r="B135" s="17">
        <v>425419</v>
      </c>
      <c r="C135" s="18" t="s">
        <v>4</v>
      </c>
      <c r="D135" s="19">
        <v>4125000</v>
      </c>
      <c r="E135" s="19"/>
      <c r="F135" s="19"/>
      <c r="G135" s="19"/>
      <c r="H135" s="19">
        <v>4250000</v>
      </c>
      <c r="I135" s="19"/>
      <c r="J135" s="19"/>
      <c r="K135" s="34"/>
    </row>
  </sheetData>
  <mergeCells count="47">
    <mergeCell ref="B1:K1"/>
    <mergeCell ref="B2:K2"/>
    <mergeCell ref="B3:K3"/>
    <mergeCell ref="B6:B7"/>
    <mergeCell ref="C6:C7"/>
    <mergeCell ref="D6:G6"/>
    <mergeCell ref="H6:K6"/>
    <mergeCell ref="B59:K59"/>
    <mergeCell ref="B20:K20"/>
    <mergeCell ref="B21:K21"/>
    <mergeCell ref="B22:K22"/>
    <mergeCell ref="B25:B26"/>
    <mergeCell ref="C25:C26"/>
    <mergeCell ref="D25:G25"/>
    <mergeCell ref="H25:K25"/>
    <mergeCell ref="B40:K40"/>
    <mergeCell ref="B41:K41"/>
    <mergeCell ref="B42:K42"/>
    <mergeCell ref="D45:G45"/>
    <mergeCell ref="H45:K45"/>
    <mergeCell ref="B60:K60"/>
    <mergeCell ref="B61:K61"/>
    <mergeCell ref="B64:B65"/>
    <mergeCell ref="C64:C65"/>
    <mergeCell ref="D64:G64"/>
    <mergeCell ref="H64:K64"/>
    <mergeCell ref="B79:K79"/>
    <mergeCell ref="B80:K80"/>
    <mergeCell ref="B81:K81"/>
    <mergeCell ref="B84:B85"/>
    <mergeCell ref="C84:C85"/>
    <mergeCell ref="D84:G84"/>
    <mergeCell ref="H84:K84"/>
    <mergeCell ref="B99:K99"/>
    <mergeCell ref="B100:K100"/>
    <mergeCell ref="B101:K101"/>
    <mergeCell ref="B104:B105"/>
    <mergeCell ref="C104:C105"/>
    <mergeCell ref="D104:G104"/>
    <mergeCell ref="H104:K104"/>
    <mergeCell ref="B119:K119"/>
    <mergeCell ref="B120:K120"/>
    <mergeCell ref="B121:K121"/>
    <mergeCell ref="B124:B125"/>
    <mergeCell ref="C124:C125"/>
    <mergeCell ref="D124:G124"/>
    <mergeCell ref="H124:K124"/>
  </mergeCells>
  <pageMargins left="0.11811023622047245" right="0.11811023622047245" top="0.55118110236220474" bottom="0.15748031496062992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4"/>
  <sheetViews>
    <sheetView topLeftCell="B1" workbookViewId="0">
      <selection activeCell="I17" sqref="I17"/>
    </sheetView>
  </sheetViews>
  <sheetFormatPr defaultColWidth="9.140625" defaultRowHeight="15.75" x14ac:dyDescent="0.2"/>
  <cols>
    <col min="1" max="1" width="9.140625" style="3"/>
    <col min="2" max="2" width="25.5703125" style="3" bestFit="1" customWidth="1"/>
    <col min="3" max="3" width="45.140625" style="3" customWidth="1"/>
    <col min="4" max="4" width="18.85546875" style="47" bestFit="1" customWidth="1"/>
    <col min="5" max="5" width="19.28515625" style="47" customWidth="1"/>
    <col min="6" max="6" width="19.28515625" style="47" bestFit="1" customWidth="1"/>
    <col min="7" max="7" width="19.42578125" style="47" customWidth="1"/>
    <col min="8" max="8" width="17.5703125" style="47" bestFit="1" customWidth="1"/>
    <col min="9" max="9" width="18.85546875" style="47" bestFit="1" customWidth="1"/>
    <col min="10" max="10" width="18.85546875" style="39" bestFit="1" customWidth="1"/>
    <col min="11" max="11" width="9.140625" style="52"/>
    <col min="12" max="16384" width="9.140625" style="3"/>
  </cols>
  <sheetData>
    <row r="3" spans="2:11" x14ac:dyDescent="0.2">
      <c r="B3" s="111" t="s">
        <v>5</v>
      </c>
      <c r="C3" s="113" t="s">
        <v>6</v>
      </c>
      <c r="D3" s="115">
        <v>2025</v>
      </c>
      <c r="E3" s="116"/>
      <c r="F3" s="116"/>
      <c r="G3" s="116"/>
      <c r="H3" s="116"/>
      <c r="I3" s="116"/>
      <c r="J3" s="116"/>
      <c r="K3" s="116"/>
    </row>
    <row r="4" spans="2:11" ht="47.25" x14ac:dyDescent="0.2">
      <c r="B4" s="112"/>
      <c r="C4" s="114"/>
      <c r="D4" s="40" t="s">
        <v>9</v>
      </c>
      <c r="E4" s="41" t="s">
        <v>18</v>
      </c>
      <c r="F4" s="42" t="s">
        <v>17</v>
      </c>
      <c r="G4" s="42" t="s">
        <v>19</v>
      </c>
      <c r="H4" s="42" t="s">
        <v>20</v>
      </c>
      <c r="I4" s="42" t="s">
        <v>22</v>
      </c>
      <c r="J4" s="37" t="s">
        <v>21</v>
      </c>
      <c r="K4" s="50" t="s">
        <v>23</v>
      </c>
    </row>
    <row r="5" spans="2:11" x14ac:dyDescent="0.2">
      <c r="B5" s="48" t="s">
        <v>0</v>
      </c>
      <c r="C5" s="49" t="s">
        <v>1</v>
      </c>
      <c r="D5" s="43">
        <f>SUM(D6:D14)</f>
        <v>46994400000</v>
      </c>
      <c r="E5" s="44">
        <f>SUM(E6:E14)</f>
        <v>20701835000</v>
      </c>
      <c r="F5" s="45">
        <f>SUM(F6:F14)</f>
        <v>18605775000</v>
      </c>
      <c r="G5" s="45">
        <f>SUM(G6:G14)</f>
        <v>2096060000</v>
      </c>
      <c r="H5" s="45">
        <f t="shared" ref="H5:J5" si="0">SUM(H6:H14)</f>
        <v>1800000000</v>
      </c>
      <c r="I5" s="45">
        <f t="shared" si="0"/>
        <v>14196225000</v>
      </c>
      <c r="J5" s="46">
        <f t="shared" si="0"/>
        <v>36698060000</v>
      </c>
      <c r="K5" s="51">
        <f>J5/D5</f>
        <v>0.78090283097560564</v>
      </c>
    </row>
    <row r="6" spans="2:11" ht="47.25" x14ac:dyDescent="0.2">
      <c r="B6" s="48">
        <v>2132</v>
      </c>
      <c r="C6" s="49" t="s">
        <v>13</v>
      </c>
      <c r="D6" s="43"/>
      <c r="E6" s="44"/>
      <c r="F6" s="45"/>
      <c r="G6" s="45"/>
      <c r="H6" s="45"/>
      <c r="I6" s="45"/>
      <c r="J6" s="38"/>
      <c r="K6" s="51"/>
    </row>
    <row r="7" spans="2:11" x14ac:dyDescent="0.2">
      <c r="B7" s="48"/>
      <c r="C7" s="49"/>
      <c r="D7" s="43"/>
      <c r="E7" s="44"/>
      <c r="F7" s="45"/>
      <c r="G7" s="45"/>
      <c r="H7" s="45"/>
      <c r="I7" s="45"/>
      <c r="J7" s="38"/>
      <c r="K7" s="51"/>
    </row>
    <row r="8" spans="2:11" ht="31.5" x14ac:dyDescent="0.2">
      <c r="B8" s="48">
        <v>425131</v>
      </c>
      <c r="C8" s="49" t="s">
        <v>14</v>
      </c>
      <c r="D8" s="43">
        <v>110000000</v>
      </c>
      <c r="E8" s="44">
        <v>19800000</v>
      </c>
      <c r="F8" s="45">
        <v>6600000</v>
      </c>
      <c r="G8" s="45">
        <f>E8-F8</f>
        <v>13200000</v>
      </c>
      <c r="H8" s="45"/>
      <c r="I8" s="45"/>
      <c r="J8" s="38">
        <f t="shared" ref="J8:J14" si="1">F8+G8+H8+I8</f>
        <v>19800000</v>
      </c>
      <c r="K8" s="51">
        <f t="shared" ref="K8:K12" si="2">J8/D8</f>
        <v>0.18</v>
      </c>
    </row>
    <row r="9" spans="2:11" x14ac:dyDescent="0.2">
      <c r="B9" s="48"/>
      <c r="C9" s="49"/>
      <c r="D9" s="43"/>
      <c r="E9" s="44"/>
      <c r="F9" s="45"/>
      <c r="G9" s="45"/>
      <c r="H9" s="45"/>
      <c r="I9" s="45"/>
      <c r="J9" s="38"/>
      <c r="K9" s="51"/>
    </row>
    <row r="10" spans="2:11" ht="31.5" x14ac:dyDescent="0.2">
      <c r="B10" s="48">
        <v>425411</v>
      </c>
      <c r="C10" s="49" t="s">
        <v>2</v>
      </c>
      <c r="D10" s="43">
        <v>130000000</v>
      </c>
      <c r="E10" s="44">
        <v>36950000</v>
      </c>
      <c r="F10" s="45">
        <v>2950000</v>
      </c>
      <c r="G10" s="45">
        <f>E10-F10</f>
        <v>34000000</v>
      </c>
      <c r="H10" s="45"/>
      <c r="I10" s="45"/>
      <c r="J10" s="38">
        <f t="shared" si="1"/>
        <v>36950000</v>
      </c>
      <c r="K10" s="51">
        <f t="shared" si="2"/>
        <v>0.28423076923076923</v>
      </c>
    </row>
    <row r="11" spans="2:11" x14ac:dyDescent="0.2">
      <c r="B11" s="48"/>
      <c r="C11" s="49"/>
      <c r="D11" s="43"/>
      <c r="E11" s="44"/>
      <c r="F11" s="45"/>
      <c r="G11" s="45"/>
      <c r="H11" s="45"/>
      <c r="I11" s="45"/>
      <c r="J11" s="38"/>
      <c r="K11" s="51"/>
    </row>
    <row r="12" spans="2:11" x14ac:dyDescent="0.2">
      <c r="B12" s="48">
        <v>425412</v>
      </c>
      <c r="C12" s="49" t="s">
        <v>3</v>
      </c>
      <c r="D12" s="43">
        <v>46749950000</v>
      </c>
      <c r="E12" s="44">
        <v>20645085000</v>
      </c>
      <c r="F12" s="45">
        <v>18596225000</v>
      </c>
      <c r="G12" s="45">
        <f>E12-F12</f>
        <v>2048860000</v>
      </c>
      <c r="H12" s="45">
        <v>1800000000</v>
      </c>
      <c r="I12" s="45">
        <f>F12-4400000000</f>
        <v>14196225000</v>
      </c>
      <c r="J12" s="38">
        <f t="shared" si="1"/>
        <v>36641310000</v>
      </c>
      <c r="K12" s="51">
        <f t="shared" si="2"/>
        <v>0.7837721751574066</v>
      </c>
    </row>
    <row r="13" spans="2:11" x14ac:dyDescent="0.2">
      <c r="B13" s="48"/>
      <c r="C13" s="49"/>
      <c r="D13" s="43"/>
      <c r="E13" s="44"/>
      <c r="F13" s="45"/>
      <c r="G13" s="45"/>
      <c r="H13" s="45"/>
      <c r="I13" s="45"/>
      <c r="J13" s="38"/>
      <c r="K13" s="51"/>
    </row>
    <row r="14" spans="2:11" x14ac:dyDescent="0.2">
      <c r="B14" s="48">
        <v>425419</v>
      </c>
      <c r="C14" s="49" t="s">
        <v>4</v>
      </c>
      <c r="D14" s="43">
        <v>4450000</v>
      </c>
      <c r="E14" s="44"/>
      <c r="F14" s="45">
        <v>0</v>
      </c>
      <c r="G14" s="45"/>
      <c r="H14" s="45"/>
      <c r="I14" s="45"/>
      <c r="J14" s="38">
        <f t="shared" si="1"/>
        <v>0</v>
      </c>
      <c r="K14" s="51"/>
    </row>
  </sheetData>
  <mergeCells count="3">
    <mergeCell ref="B3:B4"/>
    <mergeCell ref="C3:C4"/>
    <mergeCell ref="D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 Omspan 2019-205</vt:lpstr>
      <vt:lpstr>Rekap Realisasi PNBP-RKAKL</vt:lpstr>
      <vt:lpstr>TRPNBP 2019-2030</vt:lpstr>
      <vt:lpstr>Proyeksi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2025-12-08T07:32:46Z</cp:lastPrinted>
  <dcterms:created xsi:type="dcterms:W3CDTF">2023-08-10T00:28:18Z</dcterms:created>
  <dcterms:modified xsi:type="dcterms:W3CDTF">2025-12-08T07:32:53Z</dcterms:modified>
</cp:coreProperties>
</file>