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8FA1F3-0FB8-4680-B878-EA881E911E44}" xr6:coauthVersionLast="47" xr6:coauthVersionMax="47" xr10:uidLastSave="{00000000-0000-0000-0000-000000000000}"/>
  <bookViews>
    <workbookView xWindow="2436" yWindow="348" windowWidth="11712" windowHeight="12240" firstSheet="1" activeTab="1" xr2:uid="{ABA49A1F-F0D7-447B-93A9-13515FDAFBA0}"/>
  </bookViews>
  <sheets>
    <sheet name="Kapus Penelitian dan Penerbitan" sheetId="1" r:id="rId1"/>
    <sheet name="Kapus Pkm" sheetId="2" r:id="rId2"/>
    <sheet name="Kapus PSGA" sheetId="3" r:id="rId3"/>
    <sheet name="Kapus Publikasi Ilmia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H5" i="2" s="1"/>
  <c r="I5" i="2" s="1"/>
  <c r="E6" i="2"/>
</calcChain>
</file>

<file path=xl/sharedStrings.xml><?xml version="1.0" encoding="utf-8"?>
<sst xmlns="http://schemas.openxmlformats.org/spreadsheetml/2006/main" count="178" uniqueCount="42">
  <si>
    <t>No</t>
  </si>
  <si>
    <t>Indikator</t>
  </si>
  <si>
    <t>Satuan</t>
  </si>
  <si>
    <t>Publikasi Scopus (kumulatif)</t>
  </si>
  <si>
    <t>Dokumen</t>
  </si>
  <si>
    <t>...</t>
  </si>
  <si>
    <t>Sitasi Scopus (kumulatif)</t>
  </si>
  <si>
    <t>Sitasi</t>
  </si>
  <si>
    <t>Publikasi Q1</t>
  </si>
  <si>
    <t>Publikasi Q2</t>
  </si>
  <si>
    <t>Jurnal SINTA terakreditasi</t>
  </si>
  <si>
    <t>Jurnal</t>
  </si>
  <si>
    <t>Jurnal internasional terindeks</t>
  </si>
  <si>
    <t>HKI/Paten granted</t>
  </si>
  <si>
    <t>Jumlah</t>
  </si>
  <si>
    <t>Buku ber-ISBN</t>
  </si>
  <si>
    <t>Judul</t>
  </si>
  <si>
    <t>Hibah penelitian eksternal</t>
  </si>
  <si>
    <t>Indikator PkM</t>
  </si>
  <si>
    <t>Jumlah kegiatan PkM</t>
  </si>
  <si>
    <t>Kegiatan</t>
  </si>
  <si>
    <t>Desa/kelurahan binaan</t>
  </si>
  <si>
    <t>Desa</t>
  </si>
  <si>
    <t>Kerjasama aktif (MoU PkM)</t>
  </si>
  <si>
    <t>MoU</t>
  </si>
  <si>
    <t>Dana PkM internal</t>
  </si>
  <si>
    <t>Rp Juta</t>
  </si>
  <si>
    <t>Hibah PkM eksternal</t>
  </si>
  <si>
    <t>Dosen terlibat PkM</t>
  </si>
  <si>
    <t>Produk PkM yang dimanfaatkan</t>
  </si>
  <si>
    <t>Produk</t>
  </si>
  <si>
    <t>Penelitian gender &amp; anak</t>
  </si>
  <si>
    <t>Publikasi bertema gender</t>
  </si>
  <si>
    <t>Kegiatan advokasi/sosialisasi</t>
  </si>
  <si>
    <t>Kerjasama dengan instansi</t>
  </si>
  <si>
    <t>Peserta pelatihan/seminar</t>
  </si>
  <si>
    <t>Orang</t>
  </si>
  <si>
    <t>Artikel diterbitkan/tahun</t>
  </si>
  <si>
    <t>Artikel</t>
  </si>
  <si>
    <t>Proses akreditasi ulang</t>
  </si>
  <si>
    <t>OJS terkelola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</si>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</sst>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42" fontId="1" fillId="0" borderId="1" xfId="1" applyFont="1" applyBorder="1" applyAlignment="1">
      <alignment horizontal="center" vertical="center" readingOrder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2B12-C6EF-4CFB-9907-5D980AD18FE7}">
  <dimension ref="A1:I11"/>
  <sheetViews>
    <sheetView workbookViewId="0">
      <selection activeCell="C21" sqref="C21"/>
    </sheetView>
  </sheetViews>
  <sheetFormatPr defaultRowHeight="14.4" x14ac:dyDescent="0.3"/>
  <cols>
    <col min="1" max="1" width="5" bestFit="1" customWidth="1"/>
    <col min="2" max="2" width="28.77734375" bestFit="1" customWidth="1"/>
    <col min="3" max="3" width="14.5546875" customWidth="1"/>
    <col min="4" max="9" width="6.77734375" bestFit="1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0</v>
      </c>
      <c r="B2" s="2" t="s">
        <v>1</v>
      </c>
      <c r="C2" s="2" t="s">
        <v>2</v>
      </c>
      <c r="D2" s="2">
        <v>2020</v>
      </c>
      <c r="E2" s="2">
        <v>2021</v>
      </c>
      <c r="F2" s="2">
        <v>2022</v>
      </c>
      <c r="G2" s="2">
        <v>2023</v>
      </c>
      <c r="H2" s="2">
        <v>2024</v>
      </c>
      <c r="I2" s="2">
        <v>2025</v>
      </c>
    </row>
    <row r="3" spans="1:9" x14ac:dyDescent="0.3">
      <c r="A3" s="2">
        <v>1</v>
      </c>
      <c r="B3" s="3" t="s">
        <v>3</v>
      </c>
      <c r="C3" s="3" t="s">
        <v>4</v>
      </c>
      <c r="D3" s="3" t="s">
        <v>5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</row>
    <row r="4" spans="1:9" x14ac:dyDescent="0.3">
      <c r="A4" s="2">
        <v>2</v>
      </c>
      <c r="B4" s="3" t="s">
        <v>6</v>
      </c>
      <c r="C4" s="3" t="s">
        <v>7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</row>
    <row r="5" spans="1:9" x14ac:dyDescent="0.3">
      <c r="A5" s="2">
        <v>3</v>
      </c>
      <c r="B5" s="3" t="s">
        <v>8</v>
      </c>
      <c r="C5" s="3" t="s">
        <v>4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</row>
    <row r="6" spans="1:9" x14ac:dyDescent="0.3">
      <c r="A6" s="2">
        <v>4</v>
      </c>
      <c r="B6" s="3" t="s">
        <v>9</v>
      </c>
      <c r="C6" s="3" t="s">
        <v>4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</row>
    <row r="7" spans="1:9" x14ac:dyDescent="0.3">
      <c r="A7" s="2">
        <v>5</v>
      </c>
      <c r="B7" s="3" t="s">
        <v>10</v>
      </c>
      <c r="C7" s="3" t="s">
        <v>11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</row>
    <row r="8" spans="1:9" x14ac:dyDescent="0.3">
      <c r="A8" s="2">
        <v>6</v>
      </c>
      <c r="B8" s="3" t="s">
        <v>12</v>
      </c>
      <c r="C8" s="3" t="s">
        <v>11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</row>
    <row r="9" spans="1:9" x14ac:dyDescent="0.3">
      <c r="A9" s="2">
        <v>7</v>
      </c>
      <c r="B9" s="3" t="s">
        <v>13</v>
      </c>
      <c r="C9" s="3" t="s">
        <v>14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</row>
    <row r="10" spans="1:9" x14ac:dyDescent="0.3">
      <c r="A10" s="2">
        <v>8</v>
      </c>
      <c r="B10" s="3" t="s">
        <v>15</v>
      </c>
      <c r="C10" s="3" t="s">
        <v>16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</row>
    <row r="11" spans="1:9" x14ac:dyDescent="0.3">
      <c r="A11" s="2">
        <v>9</v>
      </c>
      <c r="B11" s="3" t="s">
        <v>17</v>
      </c>
      <c r="C11" s="3" t="s">
        <v>14</v>
      </c>
      <c r="D11" s="3" t="s">
        <v>5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9092-B5CE-4A83-A7F0-48AF2DAAACAB}">
  <dimension ref="A2:I9"/>
  <sheetViews>
    <sheetView tabSelected="1" zoomScale="104" workbookViewId="0">
      <selection activeCell="E16" sqref="E16"/>
    </sheetView>
  </sheetViews>
  <sheetFormatPr defaultRowHeight="14.4" x14ac:dyDescent="0.3"/>
  <cols>
    <col min="1" max="1" width="5" bestFit="1" customWidth="1"/>
    <col min="2" max="2" width="31.109375" style="4" bestFit="1" customWidth="1"/>
    <col min="3" max="3" width="10.21875" style="8" bestFit="1" customWidth="1"/>
    <col min="4" max="4" width="6.77734375" style="8" bestFit="1" customWidth="1"/>
    <col min="5" max="5" width="16.6640625" style="8" customWidth="1"/>
    <col min="6" max="7" width="6.77734375" style="8" bestFit="1" customWidth="1"/>
    <col min="8" max="8" width="19.77734375" style="8" customWidth="1"/>
    <col min="9" max="9" width="6.77734375" style="8" bestFit="1" customWidth="1"/>
  </cols>
  <sheetData>
    <row r="2" spans="1:9" x14ac:dyDescent="0.3">
      <c r="A2" s="5" t="s">
        <v>0</v>
      </c>
      <c r="B2" s="2" t="s">
        <v>18</v>
      </c>
      <c r="C2" s="6" t="s">
        <v>2</v>
      </c>
      <c r="D2" s="6">
        <v>2020</v>
      </c>
      <c r="E2" s="6">
        <v>2021</v>
      </c>
      <c r="F2" s="6">
        <v>2022</v>
      </c>
      <c r="G2" s="6">
        <v>2023</v>
      </c>
      <c r="H2" s="6">
        <v>2024</v>
      </c>
      <c r="I2" s="6">
        <v>2025</v>
      </c>
    </row>
    <row r="3" spans="1:9" x14ac:dyDescent="0.3">
      <c r="A3" s="5">
        <v>1</v>
      </c>
      <c r="B3" s="3" t="s">
        <v>19</v>
      </c>
      <c r="C3" s="7" t="s">
        <v>20</v>
      </c>
      <c r="D3" s="7">
        <v>0</v>
      </c>
      <c r="E3" s="7">
        <v>2</v>
      </c>
      <c r="F3" s="7">
        <v>1</v>
      </c>
      <c r="G3" s="7">
        <v>1</v>
      </c>
      <c r="H3" s="7">
        <v>2</v>
      </c>
      <c r="I3" s="7">
        <v>1</v>
      </c>
    </row>
    <row r="4" spans="1:9" x14ac:dyDescent="0.3">
      <c r="A4" s="5">
        <v>2</v>
      </c>
      <c r="B4" s="3" t="s">
        <v>21</v>
      </c>
      <c r="C4" s="7" t="s">
        <v>22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</row>
    <row r="5" spans="1:9" x14ac:dyDescent="0.3">
      <c r="A5" s="5">
        <v>3</v>
      </c>
      <c r="B5" s="3" t="s">
        <v>23</v>
      </c>
      <c r="C5" s="7" t="s">
        <v>24</v>
      </c>
      <c r="D5" s="7">
        <v>0</v>
      </c>
      <c r="E5" s="7">
        <v>0</v>
      </c>
      <c r="F5" s="7">
        <v>10</v>
      </c>
      <c r="G5" s="7">
        <f>F5+19+14</f>
        <v>43</v>
      </c>
      <c r="H5" s="7">
        <f>G5+6+8</f>
        <v>57</v>
      </c>
      <c r="I5" s="7">
        <f>H5+8</f>
        <v>65</v>
      </c>
    </row>
    <row r="6" spans="1:9" x14ac:dyDescent="0.3">
      <c r="A6" s="5">
        <v>4</v>
      </c>
      <c r="B6" s="3" t="s">
        <v>25</v>
      </c>
      <c r="C6" s="7" t="s">
        <v>26</v>
      </c>
      <c r="D6" s="7">
        <v>0</v>
      </c>
      <c r="E6" s="11">
        <f>13000000+13001000+9005650+10967500+9000000+13000000+11000000+13000000+6052500+15000000+13000000+9000250+11004080+15000000</f>
        <v>161030980</v>
      </c>
      <c r="F6" s="7">
        <v>0</v>
      </c>
      <c r="G6" s="7">
        <v>0</v>
      </c>
      <c r="H6" s="11">
        <v>117000000</v>
      </c>
      <c r="I6" s="7">
        <v>0</v>
      </c>
    </row>
    <row r="7" spans="1:9" x14ac:dyDescent="0.3">
      <c r="A7" s="5">
        <v>5</v>
      </c>
      <c r="B7" s="3" t="s">
        <v>27</v>
      </c>
      <c r="C7" s="7" t="s">
        <v>14</v>
      </c>
      <c r="D7" s="7">
        <v>0</v>
      </c>
      <c r="E7" s="7">
        <v>0</v>
      </c>
      <c r="F7" s="7">
        <v>1</v>
      </c>
      <c r="G7" s="7">
        <v>0</v>
      </c>
      <c r="H7" s="7">
        <v>0</v>
      </c>
      <c r="I7" s="7">
        <v>0</v>
      </c>
    </row>
    <row r="8" spans="1:9" x14ac:dyDescent="0.3">
      <c r="A8" s="5">
        <v>6</v>
      </c>
      <c r="B8" s="3" t="s">
        <v>28</v>
      </c>
      <c r="C8" s="7" t="s">
        <v>14</v>
      </c>
      <c r="D8" s="7">
        <v>0</v>
      </c>
      <c r="E8" s="7">
        <v>36</v>
      </c>
      <c r="F8" s="7">
        <v>2</v>
      </c>
      <c r="G8" s="7">
        <v>0</v>
      </c>
      <c r="H8" s="7">
        <v>17</v>
      </c>
      <c r="I8" s="7">
        <v>0</v>
      </c>
    </row>
    <row r="9" spans="1:9" x14ac:dyDescent="0.3">
      <c r="A9" s="5">
        <v>7</v>
      </c>
      <c r="B9" s="3" t="s">
        <v>29</v>
      </c>
      <c r="C9" s="7" t="s">
        <v>30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4A6F-7384-487B-BCFB-4278665ADEAD}">
  <dimension ref="A2:I7"/>
  <sheetViews>
    <sheetView workbookViewId="0">
      <selection activeCell="F8" sqref="F8"/>
    </sheetView>
  </sheetViews>
  <sheetFormatPr defaultRowHeight="14.4" x14ac:dyDescent="0.3"/>
  <cols>
    <col min="1" max="1" width="5" style="4" bestFit="1" customWidth="1"/>
    <col min="2" max="2" width="28.77734375" style="4" bestFit="1" customWidth="1"/>
    <col min="3" max="3" width="10.77734375" style="4" bestFit="1" customWidth="1"/>
    <col min="4" max="9" width="6.77734375" style="4" bestFit="1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2">
        <v>2020</v>
      </c>
      <c r="E2" s="2">
        <v>2021</v>
      </c>
      <c r="F2" s="2">
        <v>2022</v>
      </c>
      <c r="G2" s="2">
        <v>2023</v>
      </c>
      <c r="H2" s="2">
        <v>2024</v>
      </c>
      <c r="I2" s="2">
        <v>2025</v>
      </c>
    </row>
    <row r="3" spans="1:9" x14ac:dyDescent="0.3">
      <c r="A3" s="2">
        <v>1</v>
      </c>
      <c r="B3" s="3" t="s">
        <v>31</v>
      </c>
      <c r="C3" s="3" t="s">
        <v>14</v>
      </c>
      <c r="D3" s="3" t="s">
        <v>5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</row>
    <row r="4" spans="1:9" x14ac:dyDescent="0.3">
      <c r="A4" s="2">
        <v>2</v>
      </c>
      <c r="B4" s="3" t="s">
        <v>32</v>
      </c>
      <c r="C4" s="3" t="s">
        <v>4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</row>
    <row r="5" spans="1:9" x14ac:dyDescent="0.3">
      <c r="A5" s="2">
        <v>3</v>
      </c>
      <c r="B5" s="3" t="s">
        <v>33</v>
      </c>
      <c r="C5" s="3" t="s">
        <v>20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</row>
    <row r="6" spans="1:9" x14ac:dyDescent="0.3">
      <c r="A6" s="2">
        <v>4</v>
      </c>
      <c r="B6" s="3" t="s">
        <v>34</v>
      </c>
      <c r="C6" s="3" t="s">
        <v>24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</row>
    <row r="7" spans="1:9" x14ac:dyDescent="0.3">
      <c r="A7" s="2">
        <v>5</v>
      </c>
      <c r="B7" s="3" t="s">
        <v>35</v>
      </c>
      <c r="C7" s="3" t="s">
        <v>36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F081-27A9-444F-85D1-8CE9DE8079CA}">
  <dimension ref="A2:I7"/>
  <sheetViews>
    <sheetView workbookViewId="0">
      <selection activeCell="F19" sqref="F19"/>
    </sheetView>
  </sheetViews>
  <sheetFormatPr defaultRowHeight="14.4" x14ac:dyDescent="0.3"/>
  <cols>
    <col min="1" max="1" width="3.6640625" bestFit="1" customWidth="1"/>
    <col min="2" max="2" width="27.44140625" bestFit="1" customWidth="1"/>
  </cols>
  <sheetData>
    <row r="2" spans="1:9" x14ac:dyDescent="0.3">
      <c r="A2" s="6" t="s">
        <v>0</v>
      </c>
      <c r="B2" s="6" t="s">
        <v>1</v>
      </c>
      <c r="C2" s="6" t="s">
        <v>2</v>
      </c>
      <c r="D2" s="6">
        <v>2020</v>
      </c>
      <c r="E2" s="6">
        <v>2021</v>
      </c>
      <c r="F2" s="6">
        <v>2022</v>
      </c>
      <c r="G2" s="6">
        <v>2023</v>
      </c>
      <c r="H2" s="6">
        <v>2024</v>
      </c>
      <c r="I2" s="6">
        <v>2025</v>
      </c>
    </row>
    <row r="3" spans="1:9" x14ac:dyDescent="0.3">
      <c r="A3" s="9">
        <v>1</v>
      </c>
      <c r="B3" s="10" t="s">
        <v>10</v>
      </c>
      <c r="C3" s="10" t="s">
        <v>11</v>
      </c>
      <c r="D3" s="10" t="s">
        <v>5</v>
      </c>
      <c r="E3" s="10" t="s">
        <v>5</v>
      </c>
      <c r="F3" s="10" t="s">
        <v>5</v>
      </c>
      <c r="G3" s="10" t="s">
        <v>5</v>
      </c>
      <c r="H3" s="10" t="s">
        <v>5</v>
      </c>
      <c r="I3" s="10" t="s">
        <v>5</v>
      </c>
    </row>
    <row r="4" spans="1:9" x14ac:dyDescent="0.3">
      <c r="A4" s="9">
        <v>2</v>
      </c>
      <c r="B4" s="10" t="s">
        <v>12</v>
      </c>
      <c r="C4" s="10" t="s">
        <v>11</v>
      </c>
      <c r="D4" s="10" t="s">
        <v>5</v>
      </c>
      <c r="E4" s="10" t="s">
        <v>5</v>
      </c>
      <c r="F4" s="10" t="s">
        <v>5</v>
      </c>
      <c r="G4" s="10" t="s">
        <v>5</v>
      </c>
      <c r="H4" s="10" t="s">
        <v>5</v>
      </c>
      <c r="I4" s="10" t="s">
        <v>5</v>
      </c>
    </row>
    <row r="5" spans="1:9" x14ac:dyDescent="0.3">
      <c r="A5" s="9">
        <v>3</v>
      </c>
      <c r="B5" s="10" t="s">
        <v>37</v>
      </c>
      <c r="C5" s="10" t="s">
        <v>38</v>
      </c>
      <c r="D5" s="10" t="s">
        <v>5</v>
      </c>
      <c r="E5" s="10" t="s">
        <v>5</v>
      </c>
      <c r="F5" s="10" t="s">
        <v>5</v>
      </c>
      <c r="G5" s="10" t="s">
        <v>5</v>
      </c>
      <c r="H5" s="10" t="s">
        <v>5</v>
      </c>
      <c r="I5" s="10" t="s">
        <v>5</v>
      </c>
    </row>
    <row r="6" spans="1:9" x14ac:dyDescent="0.3">
      <c r="A6" s="9">
        <v>4</v>
      </c>
      <c r="B6" s="10" t="s">
        <v>39</v>
      </c>
      <c r="C6" s="10" t="s">
        <v>11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" t="s">
        <v>5</v>
      </c>
    </row>
    <row r="7" spans="1:9" x14ac:dyDescent="0.3">
      <c r="A7" s="9">
        <v>5</v>
      </c>
      <c r="B7" s="10" t="s">
        <v>40</v>
      </c>
      <c r="C7" s="10" t="s">
        <v>41</v>
      </c>
      <c r="D7" s="10" t="s">
        <v>5</v>
      </c>
      <c r="E7" s="10" t="s">
        <v>5</v>
      </c>
      <c r="F7" s="10" t="s">
        <v>5</v>
      </c>
      <c r="G7" s="10" t="s">
        <v>5</v>
      </c>
      <c r="H7" s="10" t="s">
        <v>5</v>
      </c>
      <c r="I7" s="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Kapus Penelitian dan Penerbitan</vt:lpstr>
      <vt:lpstr>Kapus Pkm</vt:lpstr>
      <vt:lpstr>Kapus PSGA</vt:lpstr>
      <vt:lpstr>Kapus Publikasi Ilmiah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LPPM IAIN Ponorogo</dc:creator>
  <cp:lastModifiedBy>Anonim</cp:lastModifiedBy>
  <dcterms:created xsi:type="dcterms:W3CDTF">2026-06-03T06:31:04Z</dcterms:created>
  <dcterms:modified xsi:type="dcterms:W3CDTF">2026-06-08T09:42:45Z</dcterms:modified>
</cp:coreProperties>
</file>